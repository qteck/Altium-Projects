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UNI_2023_2024\Term 2\Analogue Labs 3\report\"/>
    </mc:Choice>
  </mc:AlternateContent>
  <xr:revisionPtr revIDLastSave="0" documentId="13_ncr:1_{EEBDEFE0-0219-4EA2-8894-5382211EE10C}" xr6:coauthVersionLast="47" xr6:coauthVersionMax="47" xr10:uidLastSave="{00000000-0000-0000-0000-000000000000}"/>
  <bookViews>
    <workbookView xWindow="-108" yWindow="-108" windowWidth="23256" windowHeight="12456" xr2:uid="{4E22A02C-C680-4932-9519-59EAE5D25574}"/>
  </bookViews>
  <sheets>
    <sheet name="Receiver_Project_BOM" sheetId="1" r:id="rId1"/>
  </sheets>
  <definedNames>
    <definedName name="_xlnm.Print_Titles" localSheetId="0">Receiver_Project_BOM!$1:$1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1" l="1"/>
  <c r="I46" i="1"/>
  <c r="I4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2" i="1"/>
  <c r="I48" i="1" l="1"/>
  <c r="I49" i="1" s="1"/>
</calcChain>
</file>

<file path=xl/sharedStrings.xml><?xml version="1.0" encoding="utf-8"?>
<sst xmlns="http://schemas.openxmlformats.org/spreadsheetml/2006/main" count="224" uniqueCount="167">
  <si>
    <t>Comment</t>
  </si>
  <si>
    <t>Description</t>
  </si>
  <si>
    <t>Designator</t>
  </si>
  <si>
    <t>Quantity</t>
  </si>
  <si>
    <t>8p</t>
  </si>
  <si>
    <t>C1</t>
  </si>
  <si>
    <t>2.2u</t>
  </si>
  <si>
    <t>CAP TANT 10UF 10% 16V RADIAL</t>
  </si>
  <si>
    <t>C2, C3, C6, C7, C16, C17, C19, C21, C29</t>
  </si>
  <si>
    <t>0.1n</t>
  </si>
  <si>
    <t>C4, C5, C8, C9, C12, C15, C18, C20, C30</t>
  </si>
  <si>
    <t>22n</t>
  </si>
  <si>
    <t>C10</t>
  </si>
  <si>
    <t>100p</t>
  </si>
  <si>
    <t>C11, C14</t>
  </si>
  <si>
    <t>56p</t>
  </si>
  <si>
    <t>C13, C22</t>
  </si>
  <si>
    <t>68p</t>
  </si>
  <si>
    <t>C23</t>
  </si>
  <si>
    <t>10u</t>
  </si>
  <si>
    <t>C24, C27</t>
  </si>
  <si>
    <t>0.33u</t>
  </si>
  <si>
    <t>C25, C34</t>
  </si>
  <si>
    <t>0.1u</t>
  </si>
  <si>
    <t>C26, C35</t>
  </si>
  <si>
    <t>1n</t>
  </si>
  <si>
    <t>C28</t>
  </si>
  <si>
    <t>47uF</t>
  </si>
  <si>
    <t>C31</t>
  </si>
  <si>
    <t>100uF</t>
  </si>
  <si>
    <t>C32, C33</t>
  </si>
  <si>
    <t>47n</t>
  </si>
  <si>
    <t>CP1</t>
  </si>
  <si>
    <t>D1</t>
  </si>
  <si>
    <t>1N4007</t>
  </si>
  <si>
    <t>RED</t>
  </si>
  <si>
    <t>D3, D5</t>
  </si>
  <si>
    <t>GREEN</t>
  </si>
  <si>
    <t>D4, D6</t>
  </si>
  <si>
    <t>GND1, GND2, GND3</t>
  </si>
  <si>
    <t>J1</t>
  </si>
  <si>
    <t>P1</t>
  </si>
  <si>
    <t>P2</t>
  </si>
  <si>
    <t>R1</t>
  </si>
  <si>
    <t>1.8k</t>
  </si>
  <si>
    <t>RES 1K OHM 0.6W 1% AXIAL</t>
  </si>
  <si>
    <t>R2, R3</t>
  </si>
  <si>
    <t>3k3</t>
  </si>
  <si>
    <t>R4</t>
  </si>
  <si>
    <t>2.2k</t>
  </si>
  <si>
    <t>R5, R7</t>
  </si>
  <si>
    <t>10k</t>
  </si>
  <si>
    <t>R6</t>
  </si>
  <si>
    <t>270</t>
  </si>
  <si>
    <t>R8, R9</t>
  </si>
  <si>
    <t>470</t>
  </si>
  <si>
    <t>R10, R11</t>
  </si>
  <si>
    <t>4k7</t>
  </si>
  <si>
    <t>R12</t>
  </si>
  <si>
    <t>330</t>
  </si>
  <si>
    <t>R13</t>
  </si>
  <si>
    <t>1k2</t>
  </si>
  <si>
    <t>R14</t>
  </si>
  <si>
    <t>2k2</t>
  </si>
  <si>
    <t>R15, R20</t>
  </si>
  <si>
    <t>33K</t>
  </si>
  <si>
    <t>R16, R21</t>
  </si>
  <si>
    <t>1k5</t>
  </si>
  <si>
    <t>R17</t>
  </si>
  <si>
    <t>R18</t>
  </si>
  <si>
    <t>10</t>
  </si>
  <si>
    <t>R19</t>
  </si>
  <si>
    <t>TP1, TP2, TP3, TP4, TP5, TP6</t>
  </si>
  <si>
    <t>LM6171</t>
  </si>
  <si>
    <t>U1, U2, U3</t>
  </si>
  <si>
    <t>LM318N</t>
  </si>
  <si>
    <t>Operational Amplifier, 8-pin MDIP</t>
  </si>
  <si>
    <t>U4</t>
  </si>
  <si>
    <t>LM78L12ACZ</t>
  </si>
  <si>
    <t>Positive Voltage Regulator, 5V, 3-Pin TO-220</t>
  </si>
  <si>
    <t>U5</t>
  </si>
  <si>
    <t>LM386N-1</t>
  </si>
  <si>
    <t>Low Voltage Audio Power Amplifier, 0 to 70 degC, 8-pin DIP (P8)</t>
  </si>
  <si>
    <t>U6</t>
  </si>
  <si>
    <t>LM79L12</t>
  </si>
  <si>
    <t>3-Terminal Negative Regulator, 3-pin TO-220, Pb-Free</t>
  </si>
  <si>
    <t>U7</t>
  </si>
  <si>
    <t>Final price</t>
  </si>
  <si>
    <t>Supplier</t>
  </si>
  <si>
    <t>Ceramic Disc Capacitors 8pF 5%</t>
  </si>
  <si>
    <t>T350C225K035AT7301</t>
  </si>
  <si>
    <t>Mouser No.</t>
  </si>
  <si>
    <t>mouser.co.uk</t>
  </si>
  <si>
    <t>75-561R10TCCV80BA</t>
  </si>
  <si>
    <t>Price per 10 units</t>
  </si>
  <si>
    <t>594-K101J15C0GF5TL2</t>
  </si>
  <si>
    <t>Capacitors MLCC - Leaded 100pF 50volts 5%</t>
  </si>
  <si>
    <t>Ceramic Disc Capacitors 100V 22nF -20%</t>
  </si>
  <si>
    <t>594-D223Z39Y5VH63L2R</t>
  </si>
  <si>
    <t>594-K101J15C0GF5TH5</t>
  </si>
  <si>
    <t>Capacitors MLCC - Leaded 100pF 50V 5%</t>
  </si>
  <si>
    <t>Capacitors MLCC - Leaded 56pF 50V 5%</t>
  </si>
  <si>
    <t>594-K560J15C0GF5TL2</t>
  </si>
  <si>
    <t>Ceramic Disc Capacitors 68pF 5% 3Kvolts</t>
  </si>
  <si>
    <t>75-564R3DF0Q68</t>
  </si>
  <si>
    <t>'mouser.co.uk</t>
  </si>
  <si>
    <t>for 50G</t>
  </si>
  <si>
    <t>PCB</t>
  </si>
  <si>
    <t>Electrolytic Capacitors - Radial Leaded 16VDC 10uF</t>
  </si>
  <si>
    <t>667-ECE-A1CKS100B</t>
  </si>
  <si>
    <t>Tantalum Capacitors - Solid Leaded 35volt 0.33uF 10%</t>
  </si>
  <si>
    <t>80-T355A334K035AT</t>
  </si>
  <si>
    <t>Tantalum Capacitors-  50V 0.1uF 20% ESR = 26 Ohm</t>
  </si>
  <si>
    <t>581-TAP104M050CCS</t>
  </si>
  <si>
    <t>Capacitors MLCC - Leaded 1000pF 50volts 5%</t>
  </si>
  <si>
    <t>594-K102J15C0GF5TH5</t>
  </si>
  <si>
    <t xml:space="preserve">Electrolytic Capacitor - Radial Leaded 100VDC 47uF 590mA </t>
  </si>
  <si>
    <t>667-EEU-FS2A470LB</t>
  </si>
  <si>
    <t>Electrolytic Capacitors - Radial Leaded 25VDC 100uF</t>
  </si>
  <si>
    <t>667-ECE-A1EKS101I</t>
  </si>
  <si>
    <t>Film Capacitors 0.047uF 100V 5%</t>
  </si>
  <si>
    <t>75-MKT1817347014</t>
  </si>
  <si>
    <t>D2, D2</t>
  </si>
  <si>
    <t>637-1N4007</t>
  </si>
  <si>
    <t>Rectifiers Diode, DO-41, 1000V, 1A</t>
  </si>
  <si>
    <t>78-TEFD4300F</t>
  </si>
  <si>
    <t>Photodiodes T-1 770 to 1070nm +/-20 deg</t>
  </si>
  <si>
    <t>645-521-9651F</t>
  </si>
  <si>
    <t>Standard LEDs - Through Hole, T-1 3/4 (5 mm)</t>
  </si>
  <si>
    <t>534-5011</t>
  </si>
  <si>
    <t>Test Plugs &amp; Test Jacks BLACK TEST POINT</t>
  </si>
  <si>
    <t>Slide Switches 8.8 x 3.9 x 3.5 mm, 2 mm</t>
  </si>
  <si>
    <t>Slide Switch</t>
  </si>
  <si>
    <t>179-SLW-883935-2A-D</t>
  </si>
  <si>
    <t>571-2369991-4</t>
  </si>
  <si>
    <t>Board output</t>
  </si>
  <si>
    <t>Power connection</t>
  </si>
  <si>
    <t>649-71363-302LF</t>
  </si>
  <si>
    <t>652-3362U-1-104ALF</t>
  </si>
  <si>
    <t>Trimmer pot 100k</t>
  </si>
  <si>
    <t>Trimmer 104 - 'Through Hole 1/4"SQ 100KOHMS 10%</t>
  </si>
  <si>
    <t>652-3362H-1-103LF</t>
  </si>
  <si>
    <t>Trimmer Resistors - Through Hole 1/4"SQ 10KOHMS 10%</t>
  </si>
  <si>
    <t>Trimmer pot 10k</t>
  </si>
  <si>
    <t>Test pins</t>
  </si>
  <si>
    <t>uk.farnell.com</t>
  </si>
  <si>
    <t>5W, 500V, 5%</t>
  </si>
  <si>
    <t>Resistor 2W, 500V, 5%</t>
  </si>
  <si>
    <t>'5W, 500V, 5%</t>
  </si>
  <si>
    <t>'5W, 150V, 5%</t>
  </si>
  <si>
    <t>926-LM6171BIN/NOPB</t>
  </si>
  <si>
    <t>595-LM318P</t>
  </si>
  <si>
    <t>926-LM78L12ACZ/NOPB</t>
  </si>
  <si>
    <t>863-MC79L12ACPRPG</t>
  </si>
  <si>
    <t>926-LM386N-1/NOPB</t>
  </si>
  <si>
    <t>jlcpcb.com</t>
  </si>
  <si>
    <t>Note</t>
  </si>
  <si>
    <t>Total per 10 units</t>
  </si>
  <si>
    <t>Total per 1 unit</t>
  </si>
  <si>
    <t>FedEX</t>
  </si>
  <si>
    <t>Shipment</t>
  </si>
  <si>
    <t>8 DIP amplifier sockets, 2.54 mm, 7.62 mm</t>
  </si>
  <si>
    <t>Male Header, Pitch 2.54 mm, 1 x 4 Pos, Height 10.03 mm, Tail Length 3.56 mm</t>
  </si>
  <si>
    <t>Female Header, Pitch 2.54 mm, 1 x 2 Pos, Height 10.67 mm, Tail Length 3.56 mm</t>
  </si>
  <si>
    <t>High Speed Low Power Low Distortion Voltage Feedback Amplifier, 8-pin MDIP</t>
  </si>
  <si>
    <t>Socket U1, U2, U3, U4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</si>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</sst>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33333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2" fillId="0" borderId="1" xfId="0" quotePrefix="1" applyFont="1" applyBorder="1"/>
    <xf numFmtId="0" fontId="2" fillId="0" borderId="1" xfId="0" applyFont="1" applyBorder="1"/>
    <xf numFmtId="0" fontId="2" fillId="0" borderId="1" xfId="0" quotePrefix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1" xfId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2" fillId="4" borderId="1" xfId="0" quotePrefix="1" applyFont="1" applyFill="1" applyBorder="1"/>
    <xf numFmtId="0" fontId="2" fillId="4" borderId="1" xfId="0" quotePrefix="1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 wrapText="1"/>
    </xf>
    <xf numFmtId="0" fontId="2" fillId="2" borderId="1" xfId="0" applyFont="1" applyFill="1" applyBorder="1"/>
    <xf numFmtId="0" fontId="2" fillId="0" borderId="0" xfId="0" applyFont="1"/>
    <xf numFmtId="164" fontId="2" fillId="0" borderId="1" xfId="0" applyNumberFormat="1" applyFont="1" applyBorder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Components pricing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Receiver_Project_BOM!$C$2:$C$47</c:f>
              <c:strCache>
                <c:ptCount val="46"/>
                <c:pt idx="0">
                  <c:v>C1</c:v>
                </c:pt>
                <c:pt idx="1">
                  <c:v>C2, C3, C6, C7, C16, C17, C19, C21, C29</c:v>
                </c:pt>
                <c:pt idx="2">
                  <c:v>C4, C5, C8, C9, C12, C15, C18, C20, C30</c:v>
                </c:pt>
                <c:pt idx="3">
                  <c:v>C10</c:v>
                </c:pt>
                <c:pt idx="4">
                  <c:v>C11, C14</c:v>
                </c:pt>
                <c:pt idx="5">
                  <c:v>C13, C22</c:v>
                </c:pt>
                <c:pt idx="6">
                  <c:v>C23</c:v>
                </c:pt>
                <c:pt idx="7">
                  <c:v>C24, C27</c:v>
                </c:pt>
                <c:pt idx="8">
                  <c:v>C25, C34</c:v>
                </c:pt>
                <c:pt idx="9">
                  <c:v>C26, C35</c:v>
                </c:pt>
                <c:pt idx="10">
                  <c:v>C28</c:v>
                </c:pt>
                <c:pt idx="11">
                  <c:v>C31</c:v>
                </c:pt>
                <c:pt idx="12">
                  <c:v>C32, C33</c:v>
                </c:pt>
                <c:pt idx="13">
                  <c:v>CP1</c:v>
                </c:pt>
                <c:pt idx="14">
                  <c:v>D1</c:v>
                </c:pt>
                <c:pt idx="15">
                  <c:v>D2, D2</c:v>
                </c:pt>
                <c:pt idx="16">
                  <c:v>D3, D5</c:v>
                </c:pt>
                <c:pt idx="17">
                  <c:v>D4, D6</c:v>
                </c:pt>
                <c:pt idx="18">
                  <c:v>GND1, GND2, GND3</c:v>
                </c:pt>
                <c:pt idx="19">
                  <c:v>J1</c:v>
                </c:pt>
                <c:pt idx="20">
                  <c:v>P1</c:v>
                </c:pt>
                <c:pt idx="21">
                  <c:v>P2</c:v>
                </c:pt>
                <c:pt idx="22">
                  <c:v>R1</c:v>
                </c:pt>
                <c:pt idx="23">
                  <c:v>R2, R3</c:v>
                </c:pt>
                <c:pt idx="24">
                  <c:v>R4</c:v>
                </c:pt>
                <c:pt idx="25">
                  <c:v>R5, R7</c:v>
                </c:pt>
                <c:pt idx="26">
                  <c:v>R6</c:v>
                </c:pt>
                <c:pt idx="27">
                  <c:v>R8, R9</c:v>
                </c:pt>
                <c:pt idx="28">
                  <c:v>R10, R11</c:v>
                </c:pt>
                <c:pt idx="29">
                  <c:v>R12</c:v>
                </c:pt>
                <c:pt idx="30">
                  <c:v>R13</c:v>
                </c:pt>
                <c:pt idx="31">
                  <c:v>R14</c:v>
                </c:pt>
                <c:pt idx="32">
                  <c:v>R15, R20</c:v>
                </c:pt>
                <c:pt idx="33">
                  <c:v>R16, R21</c:v>
                </c:pt>
                <c:pt idx="34">
                  <c:v>R17</c:v>
                </c:pt>
                <c:pt idx="35">
                  <c:v>R18</c:v>
                </c:pt>
                <c:pt idx="36">
                  <c:v>R19</c:v>
                </c:pt>
                <c:pt idx="37">
                  <c:v>TP1, TP2, TP3, TP4, TP5, TP6</c:v>
                </c:pt>
                <c:pt idx="38">
                  <c:v>U1, U2, U3</c:v>
                </c:pt>
                <c:pt idx="39">
                  <c:v>U4</c:v>
                </c:pt>
                <c:pt idx="40">
                  <c:v>U5</c:v>
                </c:pt>
                <c:pt idx="41">
                  <c:v>U6</c:v>
                </c:pt>
                <c:pt idx="42">
                  <c:v>U7</c:v>
                </c:pt>
                <c:pt idx="43">
                  <c:v>PCB</c:v>
                </c:pt>
                <c:pt idx="44">
                  <c:v>Socket U1, U2, U3, U4</c:v>
                </c:pt>
                <c:pt idx="45">
                  <c:v>Transport</c:v>
                </c:pt>
              </c:strCache>
            </c:strRef>
          </c:cat>
          <c:val>
            <c:numRef>
              <c:f>Receiver_Project_BOM!$H$2:$H$47</c:f>
              <c:numCache>
                <c:formatCode>"£"#,##0.00</c:formatCode>
                <c:ptCount val="46"/>
                <c:pt idx="0">
                  <c:v>6.39</c:v>
                </c:pt>
                <c:pt idx="1">
                  <c:v>22.5</c:v>
                </c:pt>
                <c:pt idx="2">
                  <c:v>0.89</c:v>
                </c:pt>
                <c:pt idx="3">
                  <c:v>1.92</c:v>
                </c:pt>
                <c:pt idx="4">
                  <c:v>0.89</c:v>
                </c:pt>
                <c:pt idx="5">
                  <c:v>0.87</c:v>
                </c:pt>
                <c:pt idx="6">
                  <c:v>0.81599999999999995</c:v>
                </c:pt>
                <c:pt idx="7">
                  <c:v>8.6999999999999994E-2</c:v>
                </c:pt>
                <c:pt idx="8">
                  <c:v>2.29</c:v>
                </c:pt>
                <c:pt idx="9">
                  <c:v>0.31900000000000001</c:v>
                </c:pt>
                <c:pt idx="10">
                  <c:v>0.182</c:v>
                </c:pt>
                <c:pt idx="11">
                  <c:v>0.308</c:v>
                </c:pt>
                <c:pt idx="12">
                  <c:v>0.22</c:v>
                </c:pt>
                <c:pt idx="13">
                  <c:v>0.434</c:v>
                </c:pt>
                <c:pt idx="14">
                  <c:v>3.33</c:v>
                </c:pt>
                <c:pt idx="15">
                  <c:v>5.3999999999999999E-2</c:v>
                </c:pt>
                <c:pt idx="16">
                  <c:v>8.86</c:v>
                </c:pt>
                <c:pt idx="17">
                  <c:v>8.86</c:v>
                </c:pt>
                <c:pt idx="18">
                  <c:v>1.76</c:v>
                </c:pt>
                <c:pt idx="19">
                  <c:v>3.5</c:v>
                </c:pt>
                <c:pt idx="20">
                  <c:v>18.7</c:v>
                </c:pt>
                <c:pt idx="21">
                  <c:v>2.2999999999999998</c:v>
                </c:pt>
                <c:pt idx="22">
                  <c:v>11.6</c:v>
                </c:pt>
                <c:pt idx="23">
                  <c:v>2.9</c:v>
                </c:pt>
                <c:pt idx="24">
                  <c:v>3.8</c:v>
                </c:pt>
                <c:pt idx="25">
                  <c:v>4.7</c:v>
                </c:pt>
                <c:pt idx="26">
                  <c:v>3.9</c:v>
                </c:pt>
                <c:pt idx="27">
                  <c:v>3.9</c:v>
                </c:pt>
                <c:pt idx="28">
                  <c:v>4.7</c:v>
                </c:pt>
                <c:pt idx="29">
                  <c:v>3.9</c:v>
                </c:pt>
                <c:pt idx="30">
                  <c:v>3.9</c:v>
                </c:pt>
                <c:pt idx="31">
                  <c:v>4.9000000000000004</c:v>
                </c:pt>
                <c:pt idx="32">
                  <c:v>3.8</c:v>
                </c:pt>
                <c:pt idx="33">
                  <c:v>4</c:v>
                </c:pt>
                <c:pt idx="34">
                  <c:v>3.1</c:v>
                </c:pt>
                <c:pt idx="35">
                  <c:v>10.3</c:v>
                </c:pt>
                <c:pt idx="36">
                  <c:v>4</c:v>
                </c:pt>
                <c:pt idx="37">
                  <c:v>1.76</c:v>
                </c:pt>
                <c:pt idx="38">
                  <c:v>38.6</c:v>
                </c:pt>
                <c:pt idx="39">
                  <c:v>11.5</c:v>
                </c:pt>
                <c:pt idx="40">
                  <c:v>4.88</c:v>
                </c:pt>
                <c:pt idx="41">
                  <c:v>7.59</c:v>
                </c:pt>
                <c:pt idx="42">
                  <c:v>2.7</c:v>
                </c:pt>
                <c:pt idx="43">
                  <c:v>2</c:v>
                </c:pt>
                <c:pt idx="44">
                  <c:v>1.69</c:v>
                </c:pt>
                <c:pt idx="4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3-49B6-9087-8A2FFCA1F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5298960"/>
        <c:axId val="875299440"/>
      </c:barChart>
      <c:catAx>
        <c:axId val="875298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Componenets</a:t>
                </a:r>
                <a:endParaRPr lang="en-US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299440"/>
        <c:crosses val="autoZero"/>
        <c:auto val="1"/>
        <c:lblAlgn val="ctr"/>
        <c:lblOffset val="100"/>
        <c:noMultiLvlLbl val="0"/>
      </c:catAx>
      <c:valAx>
        <c:axId val="87529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  <a:r>
                  <a:rPr lang="en-US" baseline="0"/>
                  <a:t> (10 units)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29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1730829</xdr:colOff>
      <xdr:row>48</xdr:row>
      <xdr:rowOff>5443</xdr:rowOff>
    </xdr:from>
    <xdr:to>
      <xdr:col>6</xdr:col>
      <xdr:colOff>1055914</xdr:colOff>
      <xdr:row>68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CD95DA-B434-9AA5-843A-8CFDB23CB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B44A-5A02-4D47-9E3D-92A78DC58234}">
  <dimension ref="A1:I49"/>
  <sheetViews>
    <sheetView tabSelected="1" topLeftCell="C37" zoomScaleNormal="100" workbookViewId="0">
      <selection activeCell="H59" sqref="H59"/>
    </sheetView>
  </sheetViews>
  <sheetFormatPr defaultRowHeight="14.4" x14ac:dyDescent="0.3"/>
  <cols>
    <col min="1" max="1" width="19" customWidth="1"/>
    <col min="2" max="2" width="87.5546875" customWidth="1"/>
    <col min="3" max="3" width="39.21875" customWidth="1"/>
    <col min="4" max="5" width="19" customWidth="1"/>
    <col min="6" max="6" width="32.33203125" customWidth="1"/>
    <col min="7" max="7" width="19" customWidth="1"/>
    <col min="8" max="8" width="21.77734375" customWidth="1"/>
  </cols>
  <sheetData>
    <row r="1" spans="1:9" s="1" customFormat="1" ht="55.8" customHeight="1" x14ac:dyDescent="0.3">
      <c r="A1" s="17" t="s">
        <v>0</v>
      </c>
      <c r="B1" s="17" t="s">
        <v>1</v>
      </c>
      <c r="C1" s="17" t="s">
        <v>2</v>
      </c>
      <c r="D1" s="17" t="s">
        <v>88</v>
      </c>
      <c r="E1" s="17" t="s">
        <v>156</v>
      </c>
      <c r="F1" s="17" t="s">
        <v>91</v>
      </c>
      <c r="G1" s="17" t="s">
        <v>3</v>
      </c>
      <c r="H1" s="17" t="s">
        <v>94</v>
      </c>
      <c r="I1" s="17" t="s">
        <v>87</v>
      </c>
    </row>
    <row r="2" spans="1:9" ht="15.6" x14ac:dyDescent="0.3">
      <c r="A2" s="2" t="s">
        <v>4</v>
      </c>
      <c r="B2" s="2" t="s">
        <v>89</v>
      </c>
      <c r="C2" s="2" t="s">
        <v>5</v>
      </c>
      <c r="D2" s="2" t="s">
        <v>92</v>
      </c>
      <c r="E2" s="4"/>
      <c r="F2" s="4" t="s">
        <v>93</v>
      </c>
      <c r="G2" s="5">
        <v>1</v>
      </c>
      <c r="H2" s="12">
        <v>6.39</v>
      </c>
      <c r="I2" s="12">
        <f>G2*H2</f>
        <v>6.39</v>
      </c>
    </row>
    <row r="3" spans="1:9" ht="15.6" x14ac:dyDescent="0.3">
      <c r="A3" s="2" t="s">
        <v>6</v>
      </c>
      <c r="B3" s="2" t="s">
        <v>7</v>
      </c>
      <c r="C3" s="2" t="s">
        <v>8</v>
      </c>
      <c r="D3" s="18" t="s">
        <v>105</v>
      </c>
      <c r="E3" s="6"/>
      <c r="F3" s="4" t="s">
        <v>90</v>
      </c>
      <c r="G3" s="5">
        <v>9</v>
      </c>
      <c r="H3" s="13">
        <v>22.5</v>
      </c>
      <c r="I3" s="12">
        <f t="shared" ref="I3:I47" si="0">G3*H3</f>
        <v>202.5</v>
      </c>
    </row>
    <row r="4" spans="1:9" ht="15.6" x14ac:dyDescent="0.3">
      <c r="A4" s="2" t="s">
        <v>9</v>
      </c>
      <c r="B4" s="2" t="s">
        <v>96</v>
      </c>
      <c r="C4" s="2" t="s">
        <v>10</v>
      </c>
      <c r="D4" s="2" t="s">
        <v>92</v>
      </c>
      <c r="E4" s="4"/>
      <c r="F4" s="4" t="s">
        <v>95</v>
      </c>
      <c r="G4" s="5">
        <v>9</v>
      </c>
      <c r="H4" s="12">
        <v>0.89</v>
      </c>
      <c r="I4" s="12">
        <f t="shared" si="0"/>
        <v>8.01</v>
      </c>
    </row>
    <row r="5" spans="1:9" ht="15.6" x14ac:dyDescent="0.3">
      <c r="A5" s="2" t="s">
        <v>11</v>
      </c>
      <c r="B5" s="2" t="s">
        <v>97</v>
      </c>
      <c r="C5" s="2" t="s">
        <v>12</v>
      </c>
      <c r="D5" s="2" t="s">
        <v>92</v>
      </c>
      <c r="E5" s="4"/>
      <c r="F5" s="7" t="s">
        <v>98</v>
      </c>
      <c r="G5" s="5">
        <v>1</v>
      </c>
      <c r="H5" s="12">
        <v>1.92</v>
      </c>
      <c r="I5" s="12">
        <f t="shared" si="0"/>
        <v>1.92</v>
      </c>
    </row>
    <row r="6" spans="1:9" ht="15.6" x14ac:dyDescent="0.3">
      <c r="A6" s="2" t="s">
        <v>13</v>
      </c>
      <c r="B6" s="2" t="s">
        <v>100</v>
      </c>
      <c r="C6" s="2" t="s">
        <v>14</v>
      </c>
      <c r="D6" s="2" t="s">
        <v>92</v>
      </c>
      <c r="E6" s="4"/>
      <c r="F6" s="4" t="s">
        <v>99</v>
      </c>
      <c r="G6" s="5">
        <v>2</v>
      </c>
      <c r="H6" s="12">
        <v>0.89</v>
      </c>
      <c r="I6" s="12">
        <f t="shared" si="0"/>
        <v>1.78</v>
      </c>
    </row>
    <row r="7" spans="1:9" ht="15.6" x14ac:dyDescent="0.3">
      <c r="A7" s="2" t="s">
        <v>15</v>
      </c>
      <c r="B7" s="2" t="s">
        <v>101</v>
      </c>
      <c r="C7" s="2" t="s">
        <v>16</v>
      </c>
      <c r="D7" s="2" t="s">
        <v>92</v>
      </c>
      <c r="E7" s="4"/>
      <c r="F7" s="7" t="s">
        <v>102</v>
      </c>
      <c r="G7" s="5">
        <v>2</v>
      </c>
      <c r="H7" s="12">
        <v>0.87</v>
      </c>
      <c r="I7" s="12">
        <f t="shared" si="0"/>
        <v>1.74</v>
      </c>
    </row>
    <row r="8" spans="1:9" ht="15.6" x14ac:dyDescent="0.3">
      <c r="A8" s="2" t="s">
        <v>17</v>
      </c>
      <c r="B8" s="2" t="s">
        <v>103</v>
      </c>
      <c r="C8" s="2" t="s">
        <v>18</v>
      </c>
      <c r="D8" s="2" t="s">
        <v>92</v>
      </c>
      <c r="E8" s="4"/>
      <c r="F8" s="4" t="s">
        <v>104</v>
      </c>
      <c r="G8" s="5">
        <v>1</v>
      </c>
      <c r="H8" s="13">
        <v>0.81599999999999995</v>
      </c>
      <c r="I8" s="12">
        <f t="shared" si="0"/>
        <v>0.81599999999999995</v>
      </c>
    </row>
    <row r="9" spans="1:9" ht="15.6" x14ac:dyDescent="0.3">
      <c r="A9" s="8" t="s">
        <v>19</v>
      </c>
      <c r="B9" s="8" t="s">
        <v>108</v>
      </c>
      <c r="C9" s="8" t="s">
        <v>20</v>
      </c>
      <c r="D9" s="8" t="s">
        <v>92</v>
      </c>
      <c r="E9" s="9" t="s">
        <v>106</v>
      </c>
      <c r="F9" s="10" t="s">
        <v>109</v>
      </c>
      <c r="G9" s="11">
        <v>0</v>
      </c>
      <c r="H9" s="14">
        <v>8.6999999999999994E-2</v>
      </c>
      <c r="I9" s="15">
        <f t="shared" si="0"/>
        <v>0</v>
      </c>
    </row>
    <row r="10" spans="1:9" ht="15.6" x14ac:dyDescent="0.3">
      <c r="A10" s="2" t="s">
        <v>21</v>
      </c>
      <c r="B10" s="2" t="s">
        <v>110</v>
      </c>
      <c r="C10" s="2" t="s">
        <v>22</v>
      </c>
      <c r="D10" s="2" t="s">
        <v>92</v>
      </c>
      <c r="E10" s="4"/>
      <c r="F10" s="7" t="s">
        <v>111</v>
      </c>
      <c r="G10" s="5">
        <v>2</v>
      </c>
      <c r="H10" s="16">
        <v>2.29</v>
      </c>
      <c r="I10" s="12">
        <f t="shared" si="0"/>
        <v>4.58</v>
      </c>
    </row>
    <row r="11" spans="1:9" ht="15.6" x14ac:dyDescent="0.3">
      <c r="A11" s="2" t="s">
        <v>23</v>
      </c>
      <c r="B11" s="2" t="s">
        <v>112</v>
      </c>
      <c r="C11" s="2" t="s">
        <v>24</v>
      </c>
      <c r="D11" s="2" t="s">
        <v>92</v>
      </c>
      <c r="E11" s="4"/>
      <c r="F11" s="7" t="s">
        <v>113</v>
      </c>
      <c r="G11" s="5">
        <v>2</v>
      </c>
      <c r="H11" s="12">
        <v>0.31900000000000001</v>
      </c>
      <c r="I11" s="12">
        <f t="shared" si="0"/>
        <v>0.63800000000000001</v>
      </c>
    </row>
    <row r="12" spans="1:9" ht="15.6" x14ac:dyDescent="0.3">
      <c r="A12" s="2" t="s">
        <v>25</v>
      </c>
      <c r="B12" s="2" t="s">
        <v>114</v>
      </c>
      <c r="C12" s="2" t="s">
        <v>26</v>
      </c>
      <c r="D12" s="2" t="s">
        <v>92</v>
      </c>
      <c r="E12" s="4"/>
      <c r="F12" s="7" t="s">
        <v>115</v>
      </c>
      <c r="G12" s="5">
        <v>1</v>
      </c>
      <c r="H12" s="13">
        <v>0.182</v>
      </c>
      <c r="I12" s="12">
        <f t="shared" si="0"/>
        <v>0.182</v>
      </c>
    </row>
    <row r="13" spans="1:9" ht="15.6" x14ac:dyDescent="0.3">
      <c r="A13" s="2" t="s">
        <v>27</v>
      </c>
      <c r="B13" s="2" t="s">
        <v>116</v>
      </c>
      <c r="C13" s="2" t="s">
        <v>28</v>
      </c>
      <c r="D13" s="2" t="s">
        <v>92</v>
      </c>
      <c r="E13" s="4"/>
      <c r="F13" s="7" t="s">
        <v>117</v>
      </c>
      <c r="G13" s="5">
        <v>1</v>
      </c>
      <c r="H13" s="13">
        <v>0.308</v>
      </c>
      <c r="I13" s="12">
        <f t="shared" si="0"/>
        <v>0.308</v>
      </c>
    </row>
    <row r="14" spans="1:9" ht="15.6" x14ac:dyDescent="0.3">
      <c r="A14" s="2" t="s">
        <v>29</v>
      </c>
      <c r="B14" s="2" t="s">
        <v>118</v>
      </c>
      <c r="C14" s="2" t="s">
        <v>30</v>
      </c>
      <c r="D14" s="2" t="s">
        <v>92</v>
      </c>
      <c r="E14" s="4"/>
      <c r="F14" s="4" t="s">
        <v>119</v>
      </c>
      <c r="G14" s="5">
        <v>2</v>
      </c>
      <c r="H14" s="12">
        <v>0.22</v>
      </c>
      <c r="I14" s="12">
        <f t="shared" si="0"/>
        <v>0.44</v>
      </c>
    </row>
    <row r="15" spans="1:9" ht="15.6" x14ac:dyDescent="0.3">
      <c r="A15" s="2" t="s">
        <v>31</v>
      </c>
      <c r="B15" s="2" t="s">
        <v>120</v>
      </c>
      <c r="C15" s="2" t="s">
        <v>32</v>
      </c>
      <c r="D15" s="2" t="s">
        <v>92</v>
      </c>
      <c r="E15" s="4"/>
      <c r="F15" s="7" t="s">
        <v>121</v>
      </c>
      <c r="G15" s="5">
        <v>1</v>
      </c>
      <c r="H15" s="13">
        <v>0.434</v>
      </c>
      <c r="I15" s="12">
        <f t="shared" si="0"/>
        <v>0.434</v>
      </c>
    </row>
    <row r="16" spans="1:9" ht="15.6" x14ac:dyDescent="0.3">
      <c r="A16" s="2" t="s">
        <v>125</v>
      </c>
      <c r="B16" s="2" t="s">
        <v>126</v>
      </c>
      <c r="C16" s="2" t="s">
        <v>33</v>
      </c>
      <c r="D16" s="2" t="s">
        <v>92</v>
      </c>
      <c r="E16" s="4"/>
      <c r="F16" s="7" t="s">
        <v>125</v>
      </c>
      <c r="G16" s="5">
        <v>1</v>
      </c>
      <c r="H16" s="13">
        <v>3.33</v>
      </c>
      <c r="I16" s="12">
        <f t="shared" si="0"/>
        <v>3.33</v>
      </c>
    </row>
    <row r="17" spans="1:9" ht="15.6" x14ac:dyDescent="0.3">
      <c r="A17" s="2" t="s">
        <v>34</v>
      </c>
      <c r="B17" s="2" t="s">
        <v>124</v>
      </c>
      <c r="C17" s="2" t="s">
        <v>122</v>
      </c>
      <c r="D17" s="2" t="s">
        <v>92</v>
      </c>
      <c r="E17" s="4"/>
      <c r="F17" s="7" t="s">
        <v>123</v>
      </c>
      <c r="G17" s="5">
        <v>2</v>
      </c>
      <c r="H17" s="13">
        <v>5.3999999999999999E-2</v>
      </c>
      <c r="I17" s="12">
        <f t="shared" si="0"/>
        <v>0.108</v>
      </c>
    </row>
    <row r="18" spans="1:9" ht="15.6" x14ac:dyDescent="0.3">
      <c r="A18" s="2" t="s">
        <v>35</v>
      </c>
      <c r="B18" s="2" t="s">
        <v>128</v>
      </c>
      <c r="C18" s="2" t="s">
        <v>36</v>
      </c>
      <c r="D18" s="2" t="s">
        <v>92</v>
      </c>
      <c r="E18" s="4"/>
      <c r="F18" s="4" t="s">
        <v>127</v>
      </c>
      <c r="G18" s="5">
        <v>2</v>
      </c>
      <c r="H18" s="12">
        <v>8.86</v>
      </c>
      <c r="I18" s="12">
        <f t="shared" si="0"/>
        <v>17.72</v>
      </c>
    </row>
    <row r="19" spans="1:9" ht="15.6" x14ac:dyDescent="0.3">
      <c r="A19" s="2" t="s">
        <v>37</v>
      </c>
      <c r="B19" s="2" t="s">
        <v>128</v>
      </c>
      <c r="C19" s="2" t="s">
        <v>38</v>
      </c>
      <c r="D19" s="2" t="s">
        <v>92</v>
      </c>
      <c r="E19" s="4"/>
      <c r="F19" s="4" t="s">
        <v>127</v>
      </c>
      <c r="G19" s="5">
        <v>2</v>
      </c>
      <c r="H19" s="13">
        <v>8.86</v>
      </c>
      <c r="I19" s="12">
        <f t="shared" si="0"/>
        <v>17.72</v>
      </c>
    </row>
    <row r="20" spans="1:9" ht="15.6" x14ac:dyDescent="0.3">
      <c r="A20" s="2" t="s">
        <v>144</v>
      </c>
      <c r="B20" s="2" t="s">
        <v>130</v>
      </c>
      <c r="C20" s="2" t="s">
        <v>39</v>
      </c>
      <c r="D20" s="2" t="s">
        <v>92</v>
      </c>
      <c r="E20" s="4"/>
      <c r="F20" s="7" t="s">
        <v>129</v>
      </c>
      <c r="G20" s="5">
        <v>3</v>
      </c>
      <c r="H20" s="12">
        <v>1.76</v>
      </c>
      <c r="I20" s="12">
        <f t="shared" si="0"/>
        <v>5.28</v>
      </c>
    </row>
    <row r="21" spans="1:9" ht="15.6" x14ac:dyDescent="0.3">
      <c r="A21" s="2" t="s">
        <v>132</v>
      </c>
      <c r="B21" s="2" t="s">
        <v>131</v>
      </c>
      <c r="C21" s="2" t="s">
        <v>40</v>
      </c>
      <c r="D21" s="2" t="s">
        <v>92</v>
      </c>
      <c r="E21" s="4"/>
      <c r="F21" s="7" t="s">
        <v>133</v>
      </c>
      <c r="G21" s="5">
        <v>1</v>
      </c>
      <c r="H21" s="13">
        <v>3.5</v>
      </c>
      <c r="I21" s="12">
        <f t="shared" si="0"/>
        <v>3.5</v>
      </c>
    </row>
    <row r="22" spans="1:9" ht="15.6" x14ac:dyDescent="0.3">
      <c r="A22" s="2" t="s">
        <v>136</v>
      </c>
      <c r="B22" s="2" t="s">
        <v>162</v>
      </c>
      <c r="C22" s="2" t="s">
        <v>41</v>
      </c>
      <c r="D22" s="2" t="s">
        <v>92</v>
      </c>
      <c r="E22" s="4"/>
      <c r="F22" s="4" t="s">
        <v>134</v>
      </c>
      <c r="G22" s="5">
        <v>1</v>
      </c>
      <c r="H22" s="13">
        <v>18.7</v>
      </c>
      <c r="I22" s="12">
        <f t="shared" si="0"/>
        <v>18.7</v>
      </c>
    </row>
    <row r="23" spans="1:9" ht="15.6" x14ac:dyDescent="0.3">
      <c r="A23" s="2" t="s">
        <v>135</v>
      </c>
      <c r="B23" s="2" t="s">
        <v>163</v>
      </c>
      <c r="C23" s="2" t="s">
        <v>42</v>
      </c>
      <c r="D23" s="2" t="s">
        <v>92</v>
      </c>
      <c r="E23" s="4"/>
      <c r="F23" s="4" t="s">
        <v>137</v>
      </c>
      <c r="G23" s="5">
        <v>1</v>
      </c>
      <c r="H23" s="13">
        <v>2.2999999999999998</v>
      </c>
      <c r="I23" s="12">
        <f t="shared" si="0"/>
        <v>2.2999999999999998</v>
      </c>
    </row>
    <row r="24" spans="1:9" ht="15.6" x14ac:dyDescent="0.3">
      <c r="A24" s="2" t="s">
        <v>139</v>
      </c>
      <c r="B24" s="2" t="s">
        <v>140</v>
      </c>
      <c r="C24" s="2" t="s">
        <v>43</v>
      </c>
      <c r="D24" s="2" t="s">
        <v>92</v>
      </c>
      <c r="E24" s="4"/>
      <c r="F24" s="7" t="s">
        <v>138</v>
      </c>
      <c r="G24" s="5">
        <v>1</v>
      </c>
      <c r="H24" s="13">
        <v>11.6</v>
      </c>
      <c r="I24" s="12">
        <f t="shared" si="0"/>
        <v>11.6</v>
      </c>
    </row>
    <row r="25" spans="1:9" ht="15.6" x14ac:dyDescent="0.3">
      <c r="A25" s="2" t="s">
        <v>44</v>
      </c>
      <c r="B25" s="2" t="s">
        <v>147</v>
      </c>
      <c r="C25" s="2" t="s">
        <v>46</v>
      </c>
      <c r="D25" s="2" t="s">
        <v>145</v>
      </c>
      <c r="E25" s="4"/>
      <c r="F25" s="7">
        <v>3229913</v>
      </c>
      <c r="G25" s="5">
        <v>2</v>
      </c>
      <c r="H25" s="13">
        <v>2.9</v>
      </c>
      <c r="I25" s="12">
        <f t="shared" si="0"/>
        <v>5.8</v>
      </c>
    </row>
    <row r="26" spans="1:9" ht="15.6" x14ac:dyDescent="0.3">
      <c r="A26" s="2" t="s">
        <v>47</v>
      </c>
      <c r="B26" s="2" t="s">
        <v>146</v>
      </c>
      <c r="C26" s="2" t="s">
        <v>48</v>
      </c>
      <c r="D26" s="2" t="s">
        <v>145</v>
      </c>
      <c r="E26" s="4"/>
      <c r="F26" s="7">
        <v>2324626</v>
      </c>
      <c r="G26" s="5">
        <v>1</v>
      </c>
      <c r="H26" s="13">
        <v>3.8</v>
      </c>
      <c r="I26" s="12">
        <f t="shared" si="0"/>
        <v>3.8</v>
      </c>
    </row>
    <row r="27" spans="1:9" ht="15.6" x14ac:dyDescent="0.3">
      <c r="A27" s="2" t="s">
        <v>49</v>
      </c>
      <c r="B27" s="2" t="s">
        <v>146</v>
      </c>
      <c r="C27" s="2" t="s">
        <v>50</v>
      </c>
      <c r="D27" s="2" t="s">
        <v>145</v>
      </c>
      <c r="E27" s="4"/>
      <c r="F27" s="7">
        <v>1306252</v>
      </c>
      <c r="G27" s="5">
        <v>2</v>
      </c>
      <c r="H27" s="13">
        <v>4.7</v>
      </c>
      <c r="I27" s="12">
        <f t="shared" si="0"/>
        <v>9.4</v>
      </c>
    </row>
    <row r="28" spans="1:9" ht="15.6" x14ac:dyDescent="0.3">
      <c r="A28" s="2" t="s">
        <v>51</v>
      </c>
      <c r="B28" s="2" t="s">
        <v>146</v>
      </c>
      <c r="C28" s="2" t="s">
        <v>52</v>
      </c>
      <c r="D28" s="2" t="s">
        <v>145</v>
      </c>
      <c r="E28" s="4"/>
      <c r="F28" s="7">
        <v>3229934</v>
      </c>
      <c r="G28" s="5">
        <v>1</v>
      </c>
      <c r="H28" s="13">
        <v>3.9</v>
      </c>
      <c r="I28" s="12">
        <f t="shared" si="0"/>
        <v>3.9</v>
      </c>
    </row>
    <row r="29" spans="1:9" ht="15.6" x14ac:dyDescent="0.3">
      <c r="A29" s="2" t="s">
        <v>53</v>
      </c>
      <c r="B29" s="2" t="s">
        <v>148</v>
      </c>
      <c r="C29" s="2" t="s">
        <v>54</v>
      </c>
      <c r="D29" s="2" t="s">
        <v>145</v>
      </c>
      <c r="E29" s="4"/>
      <c r="F29" s="7">
        <v>3229892</v>
      </c>
      <c r="G29" s="5">
        <v>2</v>
      </c>
      <c r="H29" s="13">
        <v>3.9</v>
      </c>
      <c r="I29" s="12">
        <f t="shared" si="0"/>
        <v>7.8</v>
      </c>
    </row>
    <row r="30" spans="1:9" ht="15.6" x14ac:dyDescent="0.3">
      <c r="A30" s="2" t="s">
        <v>55</v>
      </c>
      <c r="B30" s="2" t="s">
        <v>149</v>
      </c>
      <c r="C30" s="2" t="s">
        <v>56</v>
      </c>
      <c r="D30" s="2" t="s">
        <v>145</v>
      </c>
      <c r="E30" s="4"/>
      <c r="F30" s="7">
        <v>2340995</v>
      </c>
      <c r="G30" s="5">
        <v>2</v>
      </c>
      <c r="H30" s="13">
        <v>4.7</v>
      </c>
      <c r="I30" s="12">
        <f t="shared" si="0"/>
        <v>9.4</v>
      </c>
    </row>
    <row r="31" spans="1:9" ht="15.6" x14ac:dyDescent="0.3">
      <c r="A31" s="2" t="s">
        <v>57</v>
      </c>
      <c r="B31" s="2" t="s">
        <v>148</v>
      </c>
      <c r="C31" s="2" t="s">
        <v>58</v>
      </c>
      <c r="D31" s="2" t="s">
        <v>145</v>
      </c>
      <c r="E31" s="4"/>
      <c r="F31" s="7">
        <v>3229925</v>
      </c>
      <c r="G31" s="5">
        <v>1</v>
      </c>
      <c r="H31" s="13">
        <v>3.9</v>
      </c>
      <c r="I31" s="12">
        <f t="shared" si="0"/>
        <v>3.9</v>
      </c>
    </row>
    <row r="32" spans="1:9" ht="15.6" x14ac:dyDescent="0.3">
      <c r="A32" s="2" t="s">
        <v>59</v>
      </c>
      <c r="B32" s="2" t="s">
        <v>148</v>
      </c>
      <c r="C32" s="2" t="s">
        <v>60</v>
      </c>
      <c r="D32" s="2" t="s">
        <v>145</v>
      </c>
      <c r="E32" s="4"/>
      <c r="F32" s="7">
        <v>3229894</v>
      </c>
      <c r="G32" s="5">
        <v>1</v>
      </c>
      <c r="H32" s="13">
        <v>3.9</v>
      </c>
      <c r="I32" s="12">
        <f t="shared" si="0"/>
        <v>3.9</v>
      </c>
    </row>
    <row r="33" spans="1:9" ht="15.6" x14ac:dyDescent="0.3">
      <c r="A33" s="8" t="s">
        <v>61</v>
      </c>
      <c r="B33" s="8" t="s">
        <v>148</v>
      </c>
      <c r="C33" s="8" t="s">
        <v>62</v>
      </c>
      <c r="D33" s="8" t="s">
        <v>145</v>
      </c>
      <c r="E33" s="9" t="s">
        <v>106</v>
      </c>
      <c r="F33" s="10">
        <v>3605426</v>
      </c>
      <c r="G33" s="11">
        <v>0</v>
      </c>
      <c r="H33" s="14">
        <v>4.9000000000000004</v>
      </c>
      <c r="I33" s="15">
        <f t="shared" si="0"/>
        <v>0</v>
      </c>
    </row>
    <row r="34" spans="1:9" ht="15.6" x14ac:dyDescent="0.3">
      <c r="A34" s="2" t="s">
        <v>63</v>
      </c>
      <c r="B34" s="2" t="s">
        <v>148</v>
      </c>
      <c r="C34" s="2" t="s">
        <v>64</v>
      </c>
      <c r="D34" s="2" t="s">
        <v>145</v>
      </c>
      <c r="E34" s="4"/>
      <c r="F34" s="7">
        <v>3229915</v>
      </c>
      <c r="G34" s="5">
        <v>2</v>
      </c>
      <c r="H34" s="13">
        <v>3.8</v>
      </c>
      <c r="I34" s="12">
        <f t="shared" si="0"/>
        <v>7.6</v>
      </c>
    </row>
    <row r="35" spans="1:9" ht="15.6" x14ac:dyDescent="0.3">
      <c r="A35" s="2" t="s">
        <v>65</v>
      </c>
      <c r="B35" s="2" t="s">
        <v>148</v>
      </c>
      <c r="C35" s="2" t="s">
        <v>66</v>
      </c>
      <c r="D35" s="2" t="s">
        <v>145</v>
      </c>
      <c r="E35" s="4"/>
      <c r="F35" s="7">
        <v>3229947</v>
      </c>
      <c r="G35" s="5">
        <v>2</v>
      </c>
      <c r="H35" s="13">
        <v>4</v>
      </c>
      <c r="I35" s="12">
        <f t="shared" si="0"/>
        <v>8</v>
      </c>
    </row>
    <row r="36" spans="1:9" ht="15.6" x14ac:dyDescent="0.3">
      <c r="A36" s="2" t="s">
        <v>67</v>
      </c>
      <c r="B36" s="2" t="s">
        <v>148</v>
      </c>
      <c r="C36" s="2" t="s">
        <v>68</v>
      </c>
      <c r="D36" s="2" t="s">
        <v>145</v>
      </c>
      <c r="E36" s="4"/>
      <c r="F36" s="7">
        <v>3229911</v>
      </c>
      <c r="G36" s="5">
        <v>1</v>
      </c>
      <c r="H36" s="13">
        <v>3.1</v>
      </c>
      <c r="I36" s="12">
        <f t="shared" si="0"/>
        <v>3.1</v>
      </c>
    </row>
    <row r="37" spans="1:9" ht="15.6" x14ac:dyDescent="0.3">
      <c r="A37" s="2" t="s">
        <v>143</v>
      </c>
      <c r="B37" s="2" t="s">
        <v>142</v>
      </c>
      <c r="C37" s="2" t="s">
        <v>69</v>
      </c>
      <c r="D37" s="2" t="s">
        <v>145</v>
      </c>
      <c r="E37" s="4"/>
      <c r="F37" s="7" t="s">
        <v>141</v>
      </c>
      <c r="G37" s="5">
        <v>1</v>
      </c>
      <c r="H37" s="13">
        <v>10.3</v>
      </c>
      <c r="I37" s="12">
        <f t="shared" si="0"/>
        <v>10.3</v>
      </c>
    </row>
    <row r="38" spans="1:9" ht="15.6" x14ac:dyDescent="0.3">
      <c r="A38" s="2" t="s">
        <v>70</v>
      </c>
      <c r="B38" s="2" t="s">
        <v>45</v>
      </c>
      <c r="C38" s="2" t="s">
        <v>71</v>
      </c>
      <c r="D38" s="2" t="s">
        <v>145</v>
      </c>
      <c r="E38" s="4"/>
      <c r="F38" s="7">
        <v>3229854</v>
      </c>
      <c r="G38" s="5">
        <v>1</v>
      </c>
      <c r="H38" s="13">
        <v>4</v>
      </c>
      <c r="I38" s="12">
        <f t="shared" si="0"/>
        <v>4</v>
      </c>
    </row>
    <row r="39" spans="1:9" ht="15.6" x14ac:dyDescent="0.3">
      <c r="A39" s="2" t="s">
        <v>144</v>
      </c>
      <c r="B39" s="2" t="s">
        <v>130</v>
      </c>
      <c r="C39" s="2" t="s">
        <v>72</v>
      </c>
      <c r="D39" s="2" t="s">
        <v>92</v>
      </c>
      <c r="E39" s="4"/>
      <c r="F39" s="4" t="s">
        <v>129</v>
      </c>
      <c r="G39" s="5">
        <v>6</v>
      </c>
      <c r="H39" s="12">
        <v>1.76</v>
      </c>
      <c r="I39" s="12">
        <f t="shared" si="0"/>
        <v>10.56</v>
      </c>
    </row>
    <row r="40" spans="1:9" ht="15.6" x14ac:dyDescent="0.3">
      <c r="A40" s="2" t="s">
        <v>73</v>
      </c>
      <c r="B40" s="2" t="s">
        <v>164</v>
      </c>
      <c r="C40" s="2" t="s">
        <v>74</v>
      </c>
      <c r="D40" s="2" t="s">
        <v>92</v>
      </c>
      <c r="E40" s="4"/>
      <c r="F40" s="7" t="s">
        <v>150</v>
      </c>
      <c r="G40" s="5">
        <v>3</v>
      </c>
      <c r="H40" s="13">
        <v>38.6</v>
      </c>
      <c r="I40" s="12">
        <f t="shared" si="0"/>
        <v>115.80000000000001</v>
      </c>
    </row>
    <row r="41" spans="1:9" ht="15.6" x14ac:dyDescent="0.3">
      <c r="A41" s="2" t="s">
        <v>75</v>
      </c>
      <c r="B41" s="2" t="s">
        <v>76</v>
      </c>
      <c r="C41" s="2" t="s">
        <v>77</v>
      </c>
      <c r="D41" s="2" t="s">
        <v>92</v>
      </c>
      <c r="E41" s="4"/>
      <c r="F41" s="7" t="s">
        <v>151</v>
      </c>
      <c r="G41" s="5">
        <v>1</v>
      </c>
      <c r="H41" s="13">
        <v>11.5</v>
      </c>
      <c r="I41" s="12">
        <f t="shared" si="0"/>
        <v>11.5</v>
      </c>
    </row>
    <row r="42" spans="1:9" ht="15.6" x14ac:dyDescent="0.3">
      <c r="A42" s="2" t="s">
        <v>78</v>
      </c>
      <c r="B42" s="2" t="s">
        <v>79</v>
      </c>
      <c r="C42" s="2" t="s">
        <v>80</v>
      </c>
      <c r="D42" s="2" t="s">
        <v>92</v>
      </c>
      <c r="E42" s="4"/>
      <c r="F42" s="7" t="s">
        <v>152</v>
      </c>
      <c r="G42" s="5">
        <v>1</v>
      </c>
      <c r="H42" s="13">
        <v>4.88</v>
      </c>
      <c r="I42" s="12">
        <f t="shared" si="0"/>
        <v>4.88</v>
      </c>
    </row>
    <row r="43" spans="1:9" ht="15.6" x14ac:dyDescent="0.3">
      <c r="A43" s="2" t="s">
        <v>81</v>
      </c>
      <c r="B43" s="2" t="s">
        <v>82</v>
      </c>
      <c r="C43" s="2" t="s">
        <v>83</v>
      </c>
      <c r="D43" s="2" t="s">
        <v>92</v>
      </c>
      <c r="E43" s="4"/>
      <c r="F43" s="7" t="s">
        <v>154</v>
      </c>
      <c r="G43" s="5">
        <v>1</v>
      </c>
      <c r="H43" s="13">
        <v>7.59</v>
      </c>
      <c r="I43" s="12">
        <f t="shared" si="0"/>
        <v>7.59</v>
      </c>
    </row>
    <row r="44" spans="1:9" ht="15.6" x14ac:dyDescent="0.3">
      <c r="A44" s="2" t="s">
        <v>84</v>
      </c>
      <c r="B44" s="2" t="s">
        <v>85</v>
      </c>
      <c r="C44" s="2" t="s">
        <v>86</v>
      </c>
      <c r="D44" s="2" t="s">
        <v>92</v>
      </c>
      <c r="E44" s="4"/>
      <c r="F44" s="7" t="s">
        <v>153</v>
      </c>
      <c r="G44" s="5">
        <v>1</v>
      </c>
      <c r="H44" s="13">
        <v>2.7</v>
      </c>
      <c r="I44" s="12">
        <f t="shared" si="0"/>
        <v>2.7</v>
      </c>
    </row>
    <row r="45" spans="1:9" ht="15.6" x14ac:dyDescent="0.3">
      <c r="A45" s="3"/>
      <c r="B45" s="3" t="s">
        <v>107</v>
      </c>
      <c r="C45" s="3" t="s">
        <v>107</v>
      </c>
      <c r="D45" s="3" t="s">
        <v>155</v>
      </c>
      <c r="E45" s="5"/>
      <c r="F45" s="5"/>
      <c r="G45" s="5">
        <v>1</v>
      </c>
      <c r="H45" s="12">
        <v>2</v>
      </c>
      <c r="I45" s="12">
        <f t="shared" si="0"/>
        <v>2</v>
      </c>
    </row>
    <row r="46" spans="1:9" ht="15.6" x14ac:dyDescent="0.3">
      <c r="A46" s="3"/>
      <c r="B46" s="3" t="s">
        <v>161</v>
      </c>
      <c r="C46" s="3" t="s">
        <v>165</v>
      </c>
      <c r="D46" s="2" t="s">
        <v>145</v>
      </c>
      <c r="E46" s="5"/>
      <c r="F46" s="20">
        <v>2445620</v>
      </c>
      <c r="G46" s="5">
        <v>0</v>
      </c>
      <c r="H46" s="12">
        <v>1.69</v>
      </c>
      <c r="I46" s="12">
        <f t="shared" si="0"/>
        <v>0</v>
      </c>
    </row>
    <row r="47" spans="1:9" ht="15.6" x14ac:dyDescent="0.3">
      <c r="A47" s="3"/>
      <c r="B47" s="3" t="s">
        <v>160</v>
      </c>
      <c r="C47" s="3" t="s">
        <v>166</v>
      </c>
      <c r="D47" s="3" t="s">
        <v>159</v>
      </c>
      <c r="E47" s="3"/>
      <c r="F47" s="3"/>
      <c r="G47" s="3">
        <v>1</v>
      </c>
      <c r="H47" s="12">
        <v>20</v>
      </c>
      <c r="I47" s="12">
        <f t="shared" si="0"/>
        <v>20</v>
      </c>
    </row>
    <row r="48" spans="1:9" ht="15.6" x14ac:dyDescent="0.3">
      <c r="A48" s="18"/>
      <c r="B48" s="18"/>
      <c r="C48" s="18"/>
      <c r="D48" s="18"/>
      <c r="E48" s="18"/>
      <c r="F48" s="18"/>
      <c r="G48" s="18"/>
      <c r="H48" s="3" t="s">
        <v>157</v>
      </c>
      <c r="I48" s="19">
        <f>SUM(I2:I44)</f>
        <v>543.92600000000004</v>
      </c>
    </row>
    <row r="49" spans="1:9" ht="15.6" x14ac:dyDescent="0.3">
      <c r="A49" s="18"/>
      <c r="B49" s="18"/>
      <c r="C49" s="18"/>
      <c r="D49" s="18"/>
      <c r="E49" s="18"/>
      <c r="F49" s="18"/>
      <c r="G49" s="18"/>
      <c r="H49" s="3" t="s">
        <v>158</v>
      </c>
      <c r="I49" s="19">
        <f>I48/10</f>
        <v>54.392600000000002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Receiver_Project_BOM</vt:lpstr>
      <vt:lpstr>Receiver_Project_BOM!Print_Titles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Stejskal</dc:creator>
  <cp:lastModifiedBy>Petr Stejskal</cp:lastModifiedBy>
  <dcterms:created xsi:type="dcterms:W3CDTF">2024-03-16T00:01:39Z</dcterms:created>
  <dcterms:modified xsi:type="dcterms:W3CDTF">2024-03-16T15:03:25Z</dcterms:modified>
</cp:coreProperties>
</file>