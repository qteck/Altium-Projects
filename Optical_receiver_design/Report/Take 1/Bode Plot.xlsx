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Utente\Desktop\UNI_2023_2024\Term 2\Analogue Labs 3\report\Take 1\"/>
    </mc:Choice>
  </mc:AlternateContent>
  <xr:revisionPtr revIDLastSave="0" documentId="13_ncr:1_{5A40F9F6-C518-4038-9CE8-A4C153AD2F89}" xr6:coauthVersionLast="47" xr6:coauthVersionMax="47" xr10:uidLastSave="{00000000-0000-0000-0000-000000000000}"/>
  <bookViews>
    <workbookView xWindow="12" yWindow="12" windowWidth="23016" windowHeight="12216" xr2:uid="{00000000-000D-0000-FFFF-FFFF00000000}"/>
  </bookViews>
  <sheets>
    <sheet name="List1" sheetId="1" r:id="rId1"/>
    <sheet name="Noise Floor" sheetId="4" r:id="rId2"/>
    <sheet name="Square Wave" sheetId="3" r:id="rId3"/>
    <sheet name="Bode Plot Submission" sheetId="2" r:id="rId4"/>
  </sheets>
  <externalReferences>
    <externalReference r:id="rId5"/>
  </externalReferences>
  <definedNames>
    <definedName name="_xlchart.v1.0" hidden="1">'Noise Floor'!$C$3:$C$2001</definedName>
    <definedName name="_xlchart.v1.1" hidden="1">'Noise Floor'!$C$3:$C$2001</definedName>
    <definedName name="_xlchart.v1.2" hidden="1">'Noise Floor'!$A$3:$A$1048576</definedName>
    <definedName name="_xlchart.v1.3" hidden="1">'Noise Floor'!$B$2</definedName>
    <definedName name="_xlchart.v1.4" hidden="1">'Noise Floor'!$B$3:$B$1048576</definedName>
    <definedName name="_xlchart.v1.5" hidden="1">'Noise Floor'!$B$3:$B$2001</definedName>
    <definedName name="_xlchart.v1.6" hidden="1">'Square Wave'!$A$3:$A$2002</definedName>
    <definedName name="_xlchart.v1.7" hidden="1">'Square Wave'!$B$3:$B$2002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1" i="1" l="1"/>
  <c r="G21" i="4"/>
  <c r="G20" i="4"/>
  <c r="E21" i="4"/>
  <c r="E20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3" i="4"/>
  <c r="I171" i="1"/>
  <c r="H169" i="1"/>
  <c r="I169" i="1" s="1"/>
  <c r="H171" i="1" s="1"/>
  <c r="F171" i="1"/>
  <c r="M36" i="3"/>
  <c r="L36" i="3"/>
  <c r="K37" i="3"/>
  <c r="D1534" i="3"/>
  <c r="J37" i="3"/>
  <c r="K36" i="3"/>
  <c r="G30" i="3"/>
  <c r="G32" i="3"/>
  <c r="G34" i="3" s="1"/>
  <c r="P141" i="1"/>
  <c r="P133" i="1"/>
  <c r="J133" i="1"/>
  <c r="M141" i="1"/>
  <c r="M133" i="1"/>
  <c r="J141" i="1"/>
  <c r="K141" i="1"/>
  <c r="K133" i="1"/>
  <c r="I73" i="1"/>
  <c r="K115" i="1"/>
  <c r="N73" i="1"/>
  <c r="K73" i="1"/>
  <c r="K119" i="1"/>
  <c r="I123" i="1"/>
  <c r="G123" i="1"/>
  <c r="I117" i="1"/>
  <c r="G117" i="1"/>
  <c r="D110" i="1"/>
  <c r="E110" i="1" s="1"/>
  <c r="D109" i="1"/>
  <c r="E109" i="1" s="1"/>
  <c r="D108" i="1"/>
  <c r="E108" i="1" s="1"/>
  <c r="D107" i="1"/>
  <c r="E107" i="1" s="1"/>
  <c r="D106" i="1"/>
  <c r="E106" i="1" s="1"/>
  <c r="D105" i="1"/>
  <c r="E105" i="1" s="1"/>
  <c r="D104" i="1"/>
  <c r="E104" i="1" s="1"/>
  <c r="D103" i="1"/>
  <c r="E103" i="1" s="1"/>
  <c r="D102" i="1"/>
  <c r="E102" i="1" s="1"/>
  <c r="D101" i="1"/>
  <c r="E101" i="1" s="1"/>
  <c r="D100" i="1"/>
  <c r="E100" i="1" s="1"/>
  <c r="D99" i="1"/>
  <c r="E99" i="1" s="1"/>
  <c r="D98" i="1"/>
  <c r="E98" i="1" s="1"/>
  <c r="D97" i="1"/>
  <c r="E97" i="1" s="1"/>
  <c r="D96" i="1"/>
  <c r="E96" i="1" s="1"/>
  <c r="D95" i="1"/>
  <c r="E95" i="1" s="1"/>
  <c r="D94" i="1"/>
  <c r="E94" i="1" s="1"/>
  <c r="D93" i="1"/>
  <c r="E93" i="1" s="1"/>
  <c r="D92" i="1"/>
  <c r="E92" i="1" s="1"/>
  <c r="D91" i="1"/>
  <c r="E91" i="1" s="1"/>
  <c r="D90" i="1"/>
  <c r="E90" i="1" s="1"/>
  <c r="D89" i="1"/>
  <c r="E89" i="1" s="1"/>
  <c r="D88" i="1"/>
  <c r="E88" i="1" s="1"/>
  <c r="D87" i="1"/>
  <c r="E87" i="1" s="1"/>
  <c r="D86" i="1"/>
  <c r="E86" i="1" s="1"/>
  <c r="D85" i="1"/>
  <c r="E85" i="1" s="1"/>
  <c r="D84" i="1"/>
  <c r="E84" i="1" s="1"/>
  <c r="D83" i="1"/>
  <c r="E83" i="1" s="1"/>
  <c r="D82" i="1"/>
  <c r="E82" i="1" s="1"/>
  <c r="D81" i="1"/>
  <c r="E81" i="1" s="1"/>
  <c r="D80" i="1"/>
  <c r="E80" i="1" s="1"/>
  <c r="D79" i="1"/>
  <c r="E79" i="1" s="1"/>
  <c r="D78" i="1"/>
  <c r="E78" i="1" s="1"/>
  <c r="D77" i="1"/>
  <c r="E77" i="1" s="1"/>
  <c r="D76" i="1"/>
  <c r="E76" i="1" s="1"/>
  <c r="D75" i="1"/>
  <c r="E75" i="1" s="1"/>
  <c r="D74" i="1"/>
  <c r="E74" i="1" s="1"/>
  <c r="D73" i="1"/>
  <c r="E73" i="1" s="1"/>
  <c r="N3" i="1"/>
  <c r="P3" i="1" s="1"/>
  <c r="N4" i="1"/>
  <c r="P4" i="1" s="1"/>
  <c r="N5" i="1"/>
  <c r="P5" i="1" s="1"/>
  <c r="N6" i="1"/>
  <c r="P6" i="1" s="1"/>
  <c r="N7" i="1"/>
  <c r="P7" i="1" s="1"/>
  <c r="N8" i="1"/>
  <c r="P8" i="1" s="1"/>
  <c r="N9" i="1"/>
  <c r="P9" i="1" s="1"/>
  <c r="N10" i="1"/>
  <c r="P10" i="1" s="1"/>
  <c r="N11" i="1"/>
  <c r="P11" i="1" s="1"/>
  <c r="N12" i="1"/>
  <c r="P12" i="1" s="1"/>
  <c r="N13" i="1"/>
  <c r="P13" i="1" s="1"/>
  <c r="N14" i="1"/>
  <c r="P14" i="1" s="1"/>
  <c r="N15" i="1"/>
  <c r="P15" i="1" s="1"/>
  <c r="N16" i="1"/>
  <c r="P16" i="1" s="1"/>
  <c r="N17" i="1"/>
  <c r="P17" i="1" s="1"/>
  <c r="N18" i="1"/>
  <c r="P18" i="1" s="1"/>
  <c r="N19" i="1"/>
  <c r="P19" i="1" s="1"/>
  <c r="N20" i="1"/>
  <c r="P20" i="1" s="1"/>
  <c r="N21" i="1"/>
  <c r="P21" i="1" s="1"/>
  <c r="N22" i="1"/>
  <c r="P22" i="1" s="1"/>
  <c r="N23" i="1"/>
  <c r="P23" i="1" s="1"/>
  <c r="N24" i="1"/>
  <c r="P24" i="1" s="1"/>
  <c r="N25" i="1"/>
  <c r="P25" i="1" s="1"/>
  <c r="N26" i="1"/>
  <c r="P26" i="1" s="1"/>
  <c r="N27" i="1"/>
  <c r="P27" i="1" s="1"/>
  <c r="N2" i="1"/>
  <c r="P2" i="1" s="1"/>
  <c r="G3" i="1"/>
  <c r="I3" i="1" s="1"/>
  <c r="G4" i="1"/>
  <c r="I4" i="1" s="1"/>
  <c r="G5" i="1"/>
  <c r="I5" i="1" s="1"/>
  <c r="G6" i="1"/>
  <c r="I6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13" i="1"/>
  <c r="I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I19" i="1" s="1"/>
  <c r="G20" i="1"/>
  <c r="I20" i="1" s="1"/>
  <c r="G21" i="1"/>
  <c r="I21" i="1" s="1"/>
  <c r="G22" i="1"/>
  <c r="I22" i="1" s="1"/>
  <c r="G23" i="1"/>
  <c r="I23" i="1" s="1"/>
  <c r="G24" i="1"/>
  <c r="I24" i="1" s="1"/>
  <c r="G2" i="1"/>
  <c r="I2" i="1" s="1"/>
  <c r="D2" i="1"/>
  <c r="E2" i="1" s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L141" i="1" l="1"/>
  <c r="L133" i="1"/>
  <c r="N133" i="1" s="1"/>
  <c r="N141" i="1"/>
  <c r="H32" i="3"/>
  <c r="H30" i="3"/>
  <c r="G36" i="3" s="1"/>
  <c r="G37" i="3"/>
  <c r="L73" i="1"/>
  <c r="M73" i="1" s="1"/>
</calcChain>
</file>

<file path=xl/sharedStrings.xml><?xml version="1.0" encoding="utf-8"?>
<sst xmlns="http://schemas.openxmlformats.org/spreadsheetml/2006/main" count="158" uniqueCount="124">
  <si>
    <t>Vin(mV)</t>
  </si>
  <si>
    <t>Vout/Vin</t>
  </si>
  <si>
    <t>G=20log(Vout/Vin) (Db)</t>
  </si>
  <si>
    <t>osciloscope</t>
  </si>
  <si>
    <t>Vout (V)</t>
  </si>
  <si>
    <t>Freq, f(khz)</t>
  </si>
  <si>
    <t>audio op amp output</t>
  </si>
  <si>
    <t xml:space="preserve"> </t>
  </si>
  <si>
    <t>FrA1:E16eq, f(Khz)</t>
  </si>
  <si>
    <t>disregarding readings before 1mhz</t>
  </si>
  <si>
    <t>-4.55 - 3db = -7.55, fc = (3400+3800)/2 = 3.6mhz</t>
  </si>
  <si>
    <t>-7.084 - 3db = -10.084, fc = (3400+3800)/2 = 3.6mhz</t>
  </si>
  <si>
    <t>sigma_noise^2</t>
  </si>
  <si>
    <t>R &lt;= B*log2(1+SNR)</t>
  </si>
  <si>
    <t>SNR = Psignal/Pnoise</t>
  </si>
  <si>
    <t>j. task</t>
  </si>
  <si>
    <t>t_rise ()</t>
  </si>
  <si>
    <t>0.031V</t>
  </si>
  <si>
    <t>x2-bottom</t>
  </si>
  <si>
    <t>x1-top</t>
  </si>
  <si>
    <t>-0.040V</t>
  </si>
  <si>
    <t>t_fall ()</t>
  </si>
  <si>
    <t>Btheoretical = 0.35/trise</t>
  </si>
  <si>
    <t>gen wave = 100khz</t>
  </si>
  <si>
    <t xml:space="preserve">Btheoretical </t>
  </si>
  <si>
    <t>gen wave 3.5Mhz</t>
  </si>
  <si>
    <t xml:space="preserve">the rise time: 92.400ns </t>
  </si>
  <si>
    <t>Vrdx</t>
  </si>
  <si>
    <t>Rload (ohms)</t>
  </si>
  <si>
    <t>SigmaNoise (V)</t>
  </si>
  <si>
    <t>Ps = Vrdx^2 / 4* Rload</t>
  </si>
  <si>
    <t>taken for 100khz</t>
  </si>
  <si>
    <t>q_factor = Vrxd/(2*sigma_noise)</t>
  </si>
  <si>
    <t xml:space="preserve">The rise time: </t>
  </si>
  <si>
    <t>The fall time:</t>
  </si>
  <si>
    <t>take 2</t>
  </si>
  <si>
    <t>1mhz</t>
  </si>
  <si>
    <t>start</t>
  </si>
  <si>
    <t>Vpp</t>
  </si>
  <si>
    <t>Scope 2</t>
  </si>
  <si>
    <t>scope 3</t>
  </si>
  <si>
    <t>200khz</t>
  </si>
  <si>
    <t>bandwidth characteristics</t>
  </si>
  <si>
    <t>task j</t>
  </si>
  <si>
    <t>square wave</t>
  </si>
  <si>
    <t>ns</t>
  </si>
  <si>
    <t>scope 5 / scope 6/scope 7</t>
  </si>
  <si>
    <t xml:space="preserve">fall time </t>
  </si>
  <si>
    <t>Rise time (tr)</t>
  </si>
  <si>
    <t>Vrdx (mV)</t>
  </si>
  <si>
    <t>Rload</t>
  </si>
  <si>
    <t>Sigma_squared</t>
  </si>
  <si>
    <t>Scope 8</t>
  </si>
  <si>
    <t>sigma_noise</t>
  </si>
  <si>
    <t>take 3 for 159mv at 200khz</t>
  </si>
  <si>
    <t>scope 9</t>
  </si>
  <si>
    <t>Vpp (mv)</t>
  </si>
  <si>
    <t>scope 10</t>
  </si>
  <si>
    <t>scope 11</t>
  </si>
  <si>
    <t>rise time (tr)</t>
  </si>
  <si>
    <t>530ns</t>
  </si>
  <si>
    <t>fall time</t>
  </si>
  <si>
    <t>the rise and fall time changes as the frequency change</t>
  </si>
  <si>
    <t>Sigma_Squared</t>
  </si>
  <si>
    <t>scope 12</t>
  </si>
  <si>
    <t>sigma noise</t>
  </si>
  <si>
    <t xml:space="preserve">take 3 </t>
  </si>
  <si>
    <t>scope 18 - bode</t>
  </si>
  <si>
    <t>scope 20 - bode</t>
  </si>
  <si>
    <t xml:space="preserve">scope 19 - bode </t>
  </si>
  <si>
    <t xml:space="preserve">1mhz </t>
  </si>
  <si>
    <t xml:space="preserve"> - 200 points </t>
  </si>
  <si>
    <t>scope 21</t>
  </si>
  <si>
    <t>scope 22/23</t>
  </si>
  <si>
    <t>60 points</t>
  </si>
  <si>
    <t>Scope 24</t>
  </si>
  <si>
    <t>fc = 4 . 2</t>
  </si>
  <si>
    <t>scope 25</t>
  </si>
  <si>
    <t>scope_25</t>
  </si>
  <si>
    <t>scope_25png</t>
  </si>
  <si>
    <t>scope_26png</t>
  </si>
  <si>
    <t>60p</t>
  </si>
  <si>
    <t>scope_27png</t>
  </si>
  <si>
    <t>ps</t>
  </si>
  <si>
    <t>snr</t>
  </si>
  <si>
    <t>B</t>
  </si>
  <si>
    <t>b*log2(1+snr)</t>
  </si>
  <si>
    <t>q = vrd/2*sigma</t>
  </si>
  <si>
    <t>#</t>
  </si>
  <si>
    <t xml:space="preserve"> Frequency (Hz)</t>
  </si>
  <si>
    <t xml:space="preserve"> Amplitude (Vpp)</t>
  </si>
  <si>
    <t xml:space="preserve"> Gain (dB)</t>
  </si>
  <si>
    <t xml:space="preserve"> Phase (°)</t>
  </si>
  <si>
    <t>x-axis</t>
  </si>
  <si>
    <t>second</t>
  </si>
  <si>
    <t>Volt</t>
  </si>
  <si>
    <t>x_bottom</t>
  </si>
  <si>
    <t xml:space="preserve">x_top </t>
  </si>
  <si>
    <t>xbottom+xtop</t>
  </si>
  <si>
    <t>offsets</t>
  </si>
  <si>
    <t>x_bottom+10%</t>
  </si>
  <si>
    <t>x_bottom+90%</t>
  </si>
  <si>
    <t>y</t>
  </si>
  <si>
    <t>tr</t>
  </si>
  <si>
    <t>tf</t>
  </si>
  <si>
    <t>364ns</t>
  </si>
  <si>
    <t>430ns</t>
  </si>
  <si>
    <t>Rise time (ns)</t>
  </si>
  <si>
    <t>Fall time (ns)</t>
  </si>
  <si>
    <t>SNR</t>
  </si>
  <si>
    <t>Ps (w)</t>
  </si>
  <si>
    <t>Frequency In (Hz)</t>
  </si>
  <si>
    <t>Data rate - R (bits/s)</t>
  </si>
  <si>
    <t>Sigma (V)</t>
  </si>
  <si>
    <t>Q-factor</t>
  </si>
  <si>
    <t>V</t>
  </si>
  <si>
    <t>T</t>
  </si>
  <si>
    <t>mV</t>
  </si>
  <si>
    <t>tdv</t>
  </si>
  <si>
    <t xml:space="preserve">var </t>
  </si>
  <si>
    <t>Btheoretical (Hz)</t>
  </si>
  <si>
    <t>B = fc (Hz)</t>
  </si>
  <si>
    <t>Vrxd (V)</t>
  </si>
  <si>
    <t xml:space="preserve">is the snr unitless?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</si>
</sst>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</cellStyleXfs>
  <cellXfs count="4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64" fontId="1" fillId="0" borderId="3" xfId="0" applyNumberFormat="1" applyFont="1" applyBorder="1" applyAlignment="1">
      <alignment vertical="center" wrapText="1"/>
    </xf>
    <xf numFmtId="164" fontId="1" fillId="0" borderId="4" xfId="0" applyNumberFormat="1" applyFont="1" applyBorder="1" applyAlignment="1">
      <alignment vertical="center" wrapText="1"/>
    </xf>
    <xf numFmtId="164" fontId="0" fillId="0" borderId="0" xfId="0" applyNumberFormat="1"/>
    <xf numFmtId="1" fontId="1" fillId="0" borderId="3" xfId="0" applyNumberFormat="1" applyFont="1" applyBorder="1" applyAlignment="1">
      <alignment vertical="center" wrapText="1"/>
    </xf>
    <xf numFmtId="2" fontId="1" fillId="0" borderId="4" xfId="0" applyNumberFormat="1" applyFont="1" applyBorder="1" applyAlignment="1">
      <alignment vertical="center" wrapText="1"/>
    </xf>
    <xf numFmtId="1" fontId="1" fillId="2" borderId="3" xfId="0" applyNumberFormat="1" applyFont="1" applyFill="1" applyBorder="1" applyAlignment="1">
      <alignment vertical="center" wrapText="1"/>
    </xf>
    <xf numFmtId="164" fontId="1" fillId="2" borderId="4" xfId="0" applyNumberFormat="1" applyFont="1" applyFill="1" applyBorder="1" applyAlignment="1">
      <alignment vertical="center" wrapText="1"/>
    </xf>
    <xf numFmtId="164" fontId="0" fillId="0" borderId="0" xfId="0" quotePrefix="1" applyNumberFormat="1"/>
    <xf numFmtId="0" fontId="0" fillId="3" borderId="0" xfId="0" applyFill="1"/>
    <xf numFmtId="0" fontId="0" fillId="3" borderId="0" xfId="0" quotePrefix="1" applyFill="1"/>
    <xf numFmtId="0" fontId="0" fillId="4" borderId="0" xfId="0" applyFill="1"/>
    <xf numFmtId="0" fontId="0" fillId="5" borderId="0" xfId="0" applyFill="1"/>
    <xf numFmtId="0" fontId="0" fillId="6" borderId="5" xfId="0" applyFill="1" applyBorder="1" applyAlignment="1">
      <alignment horizontal="center" vertical="center"/>
    </xf>
    <xf numFmtId="0" fontId="0" fillId="6" borderId="5" xfId="0" applyFill="1" applyBorder="1"/>
    <xf numFmtId="0" fontId="1" fillId="2" borderId="5" xfId="0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1" fontId="1" fillId="2" borderId="5" xfId="0" applyNumberFormat="1" applyFont="1" applyFill="1" applyBorder="1" applyAlignment="1">
      <alignment vertical="center" wrapText="1"/>
    </xf>
    <xf numFmtId="164" fontId="1" fillId="2" borderId="5" xfId="0" applyNumberFormat="1" applyFont="1" applyFill="1" applyBorder="1" applyAlignment="1">
      <alignment vertical="center" wrapText="1"/>
    </xf>
    <xf numFmtId="164" fontId="0" fillId="2" borderId="5" xfId="0" applyNumberFormat="1" applyFill="1" applyBorder="1"/>
    <xf numFmtId="11" fontId="0" fillId="0" borderId="0" xfId="0" applyNumberFormat="1"/>
    <xf numFmtId="0" fontId="0" fillId="2" borderId="0" xfId="0" applyFill="1"/>
    <xf numFmtId="11" fontId="0" fillId="6" borderId="5" xfId="0" applyNumberFormat="1" applyFill="1" applyBorder="1"/>
    <xf numFmtId="0" fontId="0" fillId="7" borderId="0" xfId="0" applyFill="1"/>
    <xf numFmtId="11" fontId="0" fillId="3" borderId="0" xfId="0" applyNumberFormat="1" applyFill="1"/>
    <xf numFmtId="11" fontId="0" fillId="6" borderId="0" xfId="0" applyNumberFormat="1" applyFill="1"/>
    <xf numFmtId="0" fontId="0" fillId="11" borderId="5" xfId="0" applyFill="1" applyBorder="1"/>
    <xf numFmtId="11" fontId="0" fillId="11" borderId="5" xfId="0" applyNumberFormat="1" applyFill="1" applyBorder="1"/>
    <xf numFmtId="0" fontId="3" fillId="9" borderId="5" xfId="2" applyBorder="1"/>
    <xf numFmtId="11" fontId="3" fillId="9" borderId="5" xfId="2" applyNumberFormat="1" applyBorder="1"/>
    <xf numFmtId="0" fontId="3" fillId="10" borderId="5" xfId="3" applyBorder="1"/>
    <xf numFmtId="0" fontId="0" fillId="6" borderId="0" xfId="0" applyFill="1" applyBorder="1" applyAlignment="1">
      <alignment horizontal="center" vertical="center"/>
    </xf>
    <xf numFmtId="0" fontId="0" fillId="6" borderId="0" xfId="0" applyFill="1" applyBorder="1"/>
    <xf numFmtId="0" fontId="5" fillId="12" borderId="5" xfId="1" applyFont="1" applyFill="1" applyBorder="1" applyAlignment="1">
      <alignment horizontal="center"/>
    </xf>
    <xf numFmtId="0" fontId="5" fillId="12" borderId="5" xfId="0" applyFont="1" applyFill="1" applyBorder="1" applyAlignment="1">
      <alignment horizontal="center"/>
    </xf>
    <xf numFmtId="0" fontId="5" fillId="13" borderId="5" xfId="0" applyFont="1" applyFill="1" applyBorder="1" applyAlignment="1">
      <alignment horizontal="center"/>
    </xf>
    <xf numFmtId="0" fontId="5" fillId="14" borderId="5" xfId="0" applyFont="1" applyFill="1" applyBorder="1" applyAlignment="1">
      <alignment horizontal="center"/>
    </xf>
    <xf numFmtId="0" fontId="3" fillId="12" borderId="5" xfId="1" applyFont="1" applyFill="1" applyBorder="1" applyAlignment="1">
      <alignment horizontal="left"/>
    </xf>
    <xf numFmtId="0" fontId="0" fillId="12" borderId="5" xfId="0" applyFont="1" applyFill="1" applyBorder="1" applyAlignment="1">
      <alignment horizontal="left"/>
    </xf>
    <xf numFmtId="0" fontId="0" fillId="13" borderId="5" xfId="0" applyFont="1" applyFill="1" applyBorder="1" applyAlignment="1">
      <alignment horizontal="left"/>
    </xf>
    <xf numFmtId="11" fontId="0" fillId="13" borderId="5" xfId="0" applyNumberFormat="1" applyFont="1" applyFill="1" applyBorder="1" applyAlignment="1">
      <alignment horizontal="left"/>
    </xf>
    <xf numFmtId="2" fontId="0" fillId="13" borderId="5" xfId="0" applyNumberFormat="1" applyFont="1" applyFill="1" applyBorder="1" applyAlignment="1">
      <alignment horizontal="left"/>
    </xf>
    <xf numFmtId="0" fontId="0" fillId="14" borderId="5" xfId="0" applyFont="1" applyFill="1" applyBorder="1" applyAlignment="1">
      <alignment horizontal="left"/>
    </xf>
    <xf numFmtId="1" fontId="0" fillId="14" borderId="5" xfId="0" applyNumberFormat="1" applyFont="1" applyFill="1" applyBorder="1" applyAlignment="1">
      <alignment horizontal="left"/>
    </xf>
    <xf numFmtId="2" fontId="0" fillId="14" borderId="5" xfId="0" applyNumberFormat="1" applyFont="1" applyFill="1" applyBorder="1" applyAlignment="1">
      <alignment horizontal="left"/>
    </xf>
  </cellXfs>
  <cellStyles count="4">
    <cellStyle name="20% - Accent1" xfId="2" builtinId="30"/>
    <cellStyle name="40% - Accent2" xfId="3" builtinId="35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Path</a:t>
            </a:r>
            <a:r>
              <a:rPr lang="en-US" baseline="0"/>
              <a:t> - 1 Link Bode Plot - Breadboard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List1!$A$2:$A$39</c:f>
              <c:numCache>
                <c:formatCode>0</c:formatCode>
                <c:ptCount val="38"/>
                <c:pt idx="0">
                  <c:v>200</c:v>
                </c:pt>
                <c:pt idx="1">
                  <c:v>600</c:v>
                </c:pt>
                <c:pt idx="2">
                  <c:v>1000</c:v>
                </c:pt>
                <c:pt idx="3">
                  <c:v>1400</c:v>
                </c:pt>
                <c:pt idx="4">
                  <c:v>1800</c:v>
                </c:pt>
                <c:pt idx="5">
                  <c:v>2200</c:v>
                </c:pt>
                <c:pt idx="6">
                  <c:v>2600</c:v>
                </c:pt>
                <c:pt idx="7">
                  <c:v>3000</c:v>
                </c:pt>
                <c:pt idx="8">
                  <c:v>3400</c:v>
                </c:pt>
                <c:pt idx="9">
                  <c:v>3800</c:v>
                </c:pt>
                <c:pt idx="10">
                  <c:v>4200</c:v>
                </c:pt>
                <c:pt idx="11">
                  <c:v>4600</c:v>
                </c:pt>
                <c:pt idx="12">
                  <c:v>5000</c:v>
                </c:pt>
                <c:pt idx="13">
                  <c:v>5400</c:v>
                </c:pt>
                <c:pt idx="14">
                  <c:v>5800</c:v>
                </c:pt>
                <c:pt idx="15">
                  <c:v>6200</c:v>
                </c:pt>
                <c:pt idx="16">
                  <c:v>6600</c:v>
                </c:pt>
                <c:pt idx="17">
                  <c:v>7000</c:v>
                </c:pt>
                <c:pt idx="18">
                  <c:v>7400</c:v>
                </c:pt>
                <c:pt idx="19">
                  <c:v>7800</c:v>
                </c:pt>
                <c:pt idx="20">
                  <c:v>8200</c:v>
                </c:pt>
                <c:pt idx="21">
                  <c:v>8600</c:v>
                </c:pt>
                <c:pt idx="22">
                  <c:v>9000</c:v>
                </c:pt>
                <c:pt idx="23">
                  <c:v>9400</c:v>
                </c:pt>
                <c:pt idx="24">
                  <c:v>9800</c:v>
                </c:pt>
                <c:pt idx="25">
                  <c:v>10200</c:v>
                </c:pt>
                <c:pt idx="26">
                  <c:v>10600</c:v>
                </c:pt>
                <c:pt idx="27">
                  <c:v>11000</c:v>
                </c:pt>
                <c:pt idx="28">
                  <c:v>11400</c:v>
                </c:pt>
                <c:pt idx="29">
                  <c:v>11800</c:v>
                </c:pt>
                <c:pt idx="30">
                  <c:v>12200</c:v>
                </c:pt>
                <c:pt idx="31">
                  <c:v>12600</c:v>
                </c:pt>
                <c:pt idx="32">
                  <c:v>13000</c:v>
                </c:pt>
                <c:pt idx="33">
                  <c:v>13400</c:v>
                </c:pt>
                <c:pt idx="34">
                  <c:v>13800</c:v>
                </c:pt>
                <c:pt idx="35">
                  <c:v>14200</c:v>
                </c:pt>
                <c:pt idx="36">
                  <c:v>14600</c:v>
                </c:pt>
                <c:pt idx="37">
                  <c:v>15000</c:v>
                </c:pt>
              </c:numCache>
            </c:numRef>
          </c:xVal>
          <c:yVal>
            <c:numRef>
              <c:f>List1!$E$2:$E$39</c:f>
              <c:numCache>
                <c:formatCode>0.000</c:formatCode>
                <c:ptCount val="38"/>
                <c:pt idx="0">
                  <c:v>-2.6624437132500227</c:v>
                </c:pt>
                <c:pt idx="1">
                  <c:v>-3.2482312352897749</c:v>
                </c:pt>
                <c:pt idx="2">
                  <c:v>-4.5535658655416054</c:v>
                </c:pt>
                <c:pt idx="3">
                  <c:v>-4.6717430577520105</c:v>
                </c:pt>
                <c:pt idx="4">
                  <c:v>-5.0362394598759908</c:v>
                </c:pt>
                <c:pt idx="5">
                  <c:v>-5.2880220060364014</c:v>
                </c:pt>
                <c:pt idx="6">
                  <c:v>-5.5473215493237547</c:v>
                </c:pt>
                <c:pt idx="7">
                  <c:v>-6.3751752524882557</c:v>
                </c:pt>
                <c:pt idx="8">
                  <c:v>-7.1309464702762515</c:v>
                </c:pt>
                <c:pt idx="9">
                  <c:v>-7.9588001734407516</c:v>
                </c:pt>
                <c:pt idx="10">
                  <c:v>-8.6830436265296473</c:v>
                </c:pt>
                <c:pt idx="11">
                  <c:v>-10.574165778821229</c:v>
                </c:pt>
                <c:pt idx="12">
                  <c:v>-12.110966383475674</c:v>
                </c:pt>
                <c:pt idx="13">
                  <c:v>-13.63873330074477</c:v>
                </c:pt>
                <c:pt idx="14">
                  <c:v>-16.832750158095006</c:v>
                </c:pt>
                <c:pt idx="15">
                  <c:v>-19.015639546596368</c:v>
                </c:pt>
                <c:pt idx="16">
                  <c:v>-19.015639546596368</c:v>
                </c:pt>
                <c:pt idx="17">
                  <c:v>-22.853350071374628</c:v>
                </c:pt>
                <c:pt idx="18">
                  <c:v>-25.03623945987599</c:v>
                </c:pt>
                <c:pt idx="19">
                  <c:v>-29.897000433601878</c:v>
                </c:pt>
                <c:pt idx="20">
                  <c:v>-29.897000433601878</c:v>
                </c:pt>
                <c:pt idx="21">
                  <c:v>-29.897000433601878</c:v>
                </c:pt>
                <c:pt idx="22">
                  <c:v>-32.39577516576788</c:v>
                </c:pt>
                <c:pt idx="23">
                  <c:v>-35.917600346881507</c:v>
                </c:pt>
                <c:pt idx="24">
                  <c:v>-29.897000433601878</c:v>
                </c:pt>
                <c:pt idx="25">
                  <c:v>-29.897000433601878</c:v>
                </c:pt>
                <c:pt idx="26">
                  <c:v>-29.897000433601878</c:v>
                </c:pt>
                <c:pt idx="27">
                  <c:v>-29.897000433601878</c:v>
                </c:pt>
                <c:pt idx="28">
                  <c:v>-29.897000433601878</c:v>
                </c:pt>
                <c:pt idx="29">
                  <c:v>-29.897000433601878</c:v>
                </c:pt>
                <c:pt idx="30">
                  <c:v>-29.897000433601878</c:v>
                </c:pt>
                <c:pt idx="31">
                  <c:v>-29.897000433601878</c:v>
                </c:pt>
                <c:pt idx="32">
                  <c:v>-29.897000433601878</c:v>
                </c:pt>
                <c:pt idx="33">
                  <c:v>-29.897000433601878</c:v>
                </c:pt>
                <c:pt idx="34">
                  <c:v>-29.897000433601878</c:v>
                </c:pt>
                <c:pt idx="35">
                  <c:v>-29.897000433601878</c:v>
                </c:pt>
                <c:pt idx="36">
                  <c:v>-29.897000433601878</c:v>
                </c:pt>
                <c:pt idx="37">
                  <c:v>-29.897000433601878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A7-4591-BA76-A4C53E5FD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070896"/>
        <c:axId val="772603168"/>
      </c:scatterChart>
      <c:valAx>
        <c:axId val="558070896"/>
        <c:scaling>
          <c:orientation val="minMax"/>
          <c:max val="150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  <a:r>
                  <a:rPr lang="en-US" baseline="0"/>
                  <a:t> (Hz)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603168"/>
        <c:crosses val="autoZero"/>
        <c:crossBetween val="midCat"/>
      </c:valAx>
      <c:valAx>
        <c:axId val="77260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07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Audio</a:t>
            </a:r>
            <a:r>
              <a:rPr lang="en-US" baseline="0"/>
              <a:t> Output Frequency Sweep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List1!$K$2:$K$27</c:f>
              <c:numCache>
                <c:formatCode>0</c:formatCode>
                <c:ptCount val="2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300</c:v>
                </c:pt>
                <c:pt idx="25">
                  <c:v>400</c:v>
                </c:pt>
              </c:numCache>
            </c:numRef>
          </c:xVal>
          <c:yVal>
            <c:numRef>
              <c:f>List1!$P$2:$P$27</c:f>
              <c:numCache>
                <c:formatCode>0.00</c:formatCode>
                <c:ptCount val="26"/>
                <c:pt idx="0">
                  <c:v>22.411478624116995</c:v>
                </c:pt>
                <c:pt idx="1">
                  <c:v>21.229049581743865</c:v>
                </c:pt>
                <c:pt idx="2">
                  <c:v>19.788996353333836</c:v>
                </c:pt>
                <c:pt idx="3">
                  <c:v>18.061799739838872</c:v>
                </c:pt>
                <c:pt idx="4">
                  <c:v>16.751768764710228</c:v>
                </c:pt>
                <c:pt idx="5">
                  <c:v>15.563025007672874</c:v>
                </c:pt>
                <c:pt idx="6">
                  <c:v>14.711977993963599</c:v>
                </c:pt>
                <c:pt idx="7">
                  <c:v>13.768396440054211</c:v>
                </c:pt>
                <c:pt idx="8">
                  <c:v>12.381866612534855</c:v>
                </c:pt>
                <c:pt idx="9">
                  <c:v>12.041199826559248</c:v>
                </c:pt>
                <c:pt idx="10">
                  <c:v>11.50375689855322</c:v>
                </c:pt>
                <c:pt idx="11">
                  <c:v>10.930853269562622</c:v>
                </c:pt>
                <c:pt idx="12">
                  <c:v>10.52678554779688</c:v>
                </c:pt>
                <c:pt idx="13">
                  <c:v>10.102999566398122</c:v>
                </c:pt>
                <c:pt idx="14">
                  <c:v>9.6574716721750757</c:v>
                </c:pt>
                <c:pt idx="15">
                  <c:v>8.9431606268443851</c:v>
                </c:pt>
                <c:pt idx="16">
                  <c:v>8.4320785373966203</c:v>
                </c:pt>
                <c:pt idx="17">
                  <c:v>7.8890336165243262</c:v>
                </c:pt>
                <c:pt idx="18">
                  <c:v>7.6042248342321201</c:v>
                </c:pt>
                <c:pt idx="19">
                  <c:v>7.6042248342321201</c:v>
                </c:pt>
                <c:pt idx="20">
                  <c:v>7.3097596978179924</c:v>
                </c:pt>
                <c:pt idx="21">
                  <c:v>7.0049603666832567</c:v>
                </c:pt>
                <c:pt idx="22">
                  <c:v>6.689075023018618</c:v>
                </c:pt>
                <c:pt idx="23">
                  <c:v>6.0205999132796242</c:v>
                </c:pt>
                <c:pt idx="24">
                  <c:v>2.6707781674043507</c:v>
                </c:pt>
                <c:pt idx="25">
                  <c:v>0.3406667859756074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82-462F-970B-7F705FED5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920144"/>
        <c:axId val="616437136"/>
      </c:scatterChart>
      <c:valAx>
        <c:axId val="61192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437136"/>
        <c:crosses val="autoZero"/>
        <c:crossBetween val="midCat"/>
      </c:valAx>
      <c:valAx>
        <c:axId val="61643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2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Path</a:t>
            </a:r>
            <a:r>
              <a:rPr lang="en-US" baseline="0"/>
              <a:t> 1 Link Bode Plot - PCB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List1!$A$73:$A$110</c:f>
              <c:numCache>
                <c:formatCode>0</c:formatCode>
                <c:ptCount val="38"/>
                <c:pt idx="0">
                  <c:v>200</c:v>
                </c:pt>
                <c:pt idx="1">
                  <c:v>600</c:v>
                </c:pt>
                <c:pt idx="2">
                  <c:v>1000</c:v>
                </c:pt>
                <c:pt idx="3">
                  <c:v>1400</c:v>
                </c:pt>
                <c:pt idx="4">
                  <c:v>1800</c:v>
                </c:pt>
                <c:pt idx="5">
                  <c:v>2200</c:v>
                </c:pt>
                <c:pt idx="6">
                  <c:v>2600</c:v>
                </c:pt>
                <c:pt idx="7">
                  <c:v>3000</c:v>
                </c:pt>
                <c:pt idx="8">
                  <c:v>3400</c:v>
                </c:pt>
                <c:pt idx="9">
                  <c:v>3800</c:v>
                </c:pt>
                <c:pt idx="10">
                  <c:v>4200</c:v>
                </c:pt>
                <c:pt idx="11">
                  <c:v>4600</c:v>
                </c:pt>
                <c:pt idx="12">
                  <c:v>5000</c:v>
                </c:pt>
                <c:pt idx="13">
                  <c:v>5400</c:v>
                </c:pt>
                <c:pt idx="14">
                  <c:v>5800</c:v>
                </c:pt>
                <c:pt idx="15">
                  <c:v>6200</c:v>
                </c:pt>
                <c:pt idx="16">
                  <c:v>6600</c:v>
                </c:pt>
                <c:pt idx="17">
                  <c:v>7000</c:v>
                </c:pt>
                <c:pt idx="18">
                  <c:v>7400</c:v>
                </c:pt>
                <c:pt idx="19">
                  <c:v>7800</c:v>
                </c:pt>
                <c:pt idx="20">
                  <c:v>8200</c:v>
                </c:pt>
                <c:pt idx="21">
                  <c:v>8600</c:v>
                </c:pt>
                <c:pt idx="22">
                  <c:v>9000</c:v>
                </c:pt>
                <c:pt idx="23">
                  <c:v>9400</c:v>
                </c:pt>
                <c:pt idx="24">
                  <c:v>9800</c:v>
                </c:pt>
                <c:pt idx="25">
                  <c:v>10200</c:v>
                </c:pt>
                <c:pt idx="26">
                  <c:v>10600</c:v>
                </c:pt>
                <c:pt idx="27">
                  <c:v>11000</c:v>
                </c:pt>
                <c:pt idx="28">
                  <c:v>11400</c:v>
                </c:pt>
                <c:pt idx="29">
                  <c:v>11800</c:v>
                </c:pt>
                <c:pt idx="30">
                  <c:v>12200</c:v>
                </c:pt>
                <c:pt idx="31">
                  <c:v>12600</c:v>
                </c:pt>
                <c:pt idx="32">
                  <c:v>13000</c:v>
                </c:pt>
                <c:pt idx="33">
                  <c:v>13400</c:v>
                </c:pt>
                <c:pt idx="34">
                  <c:v>13800</c:v>
                </c:pt>
                <c:pt idx="35">
                  <c:v>14200</c:v>
                </c:pt>
                <c:pt idx="36">
                  <c:v>14600</c:v>
                </c:pt>
                <c:pt idx="37">
                  <c:v>15000</c:v>
                </c:pt>
              </c:numCache>
            </c:numRef>
          </c:xVal>
          <c:yVal>
            <c:numRef>
              <c:f>List1!$E$73:$E$110</c:f>
              <c:numCache>
                <c:formatCode>0.000</c:formatCode>
                <c:ptCount val="38"/>
                <c:pt idx="0">
                  <c:v>-2.6624437132500227</c:v>
                </c:pt>
                <c:pt idx="1">
                  <c:v>-5.5473215493237547</c:v>
                </c:pt>
                <c:pt idx="2">
                  <c:v>-7.0836976340671631</c:v>
                </c:pt>
                <c:pt idx="3">
                  <c:v>-7.6181333874651456</c:v>
                </c:pt>
                <c:pt idx="4">
                  <c:v>-7.9588001734407516</c:v>
                </c:pt>
                <c:pt idx="5">
                  <c:v>-8.4962431014467796</c:v>
                </c:pt>
                <c:pt idx="6">
                  <c:v>-8.4962431014467796</c:v>
                </c:pt>
                <c:pt idx="7">
                  <c:v>-8.6830436265296473</c:v>
                </c:pt>
                <c:pt idx="8">
                  <c:v>-9.268831148569399</c:v>
                </c:pt>
                <c:pt idx="9">
                  <c:v>-9.268831148569399</c:v>
                </c:pt>
                <c:pt idx="10">
                  <c:v>-9.89700043360188</c:v>
                </c:pt>
                <c:pt idx="11">
                  <c:v>-10.860539727283642</c:v>
                </c:pt>
                <c:pt idx="12">
                  <c:v>-13.979400086720375</c:v>
                </c:pt>
                <c:pt idx="13">
                  <c:v>-15.917600346881503</c:v>
                </c:pt>
                <c:pt idx="14">
                  <c:v>-16.832750158095006</c:v>
                </c:pt>
                <c:pt idx="15">
                  <c:v>-19.015639546596368</c:v>
                </c:pt>
                <c:pt idx="16">
                  <c:v>-23.876400520322257</c:v>
                </c:pt>
                <c:pt idx="17">
                  <c:v>-25.03623945987599</c:v>
                </c:pt>
                <c:pt idx="18">
                  <c:v>-29.897000433601878</c:v>
                </c:pt>
                <c:pt idx="19">
                  <c:v>-27.95880017344075</c:v>
                </c:pt>
                <c:pt idx="20">
                  <c:v>-29.897000433601878</c:v>
                </c:pt>
                <c:pt idx="21">
                  <c:v>-29.897000433601878</c:v>
                </c:pt>
                <c:pt idx="22">
                  <c:v>-32.39577516576788</c:v>
                </c:pt>
                <c:pt idx="23">
                  <c:v>-35.917600346881507</c:v>
                </c:pt>
                <c:pt idx="24">
                  <c:v>-29.897000433601878</c:v>
                </c:pt>
                <c:pt idx="25">
                  <c:v>-29.897000433601878</c:v>
                </c:pt>
                <c:pt idx="26">
                  <c:v>-29.897000433601878</c:v>
                </c:pt>
                <c:pt idx="27">
                  <c:v>-29.897000433601878</c:v>
                </c:pt>
                <c:pt idx="28">
                  <c:v>-29.897000433601878</c:v>
                </c:pt>
                <c:pt idx="29">
                  <c:v>-29.897000433601878</c:v>
                </c:pt>
                <c:pt idx="30">
                  <c:v>-29.897000433601878</c:v>
                </c:pt>
                <c:pt idx="31">
                  <c:v>-29.897000433601878</c:v>
                </c:pt>
                <c:pt idx="32">
                  <c:v>-29.897000433601878</c:v>
                </c:pt>
                <c:pt idx="33">
                  <c:v>-29.897000433601878</c:v>
                </c:pt>
                <c:pt idx="34">
                  <c:v>-29.897000433601878</c:v>
                </c:pt>
                <c:pt idx="35">
                  <c:v>-29.897000433601878</c:v>
                </c:pt>
                <c:pt idx="36">
                  <c:v>-29.897000433601878</c:v>
                </c:pt>
                <c:pt idx="37">
                  <c:v>-29.897000433601878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18-4302-83E8-F01539E3B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9705903"/>
        <c:axId val="1450496000"/>
      </c:scatterChart>
      <c:valAx>
        <c:axId val="1349705903"/>
        <c:scaling>
          <c:orientation val="minMax"/>
          <c:max val="150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  <a:r>
                  <a:rPr lang="en-US" baseline="0"/>
                  <a:t> (Hz)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496000"/>
        <c:crosses val="autoZero"/>
        <c:crossBetween val="midCat"/>
      </c:valAx>
      <c:valAx>
        <c:axId val="145049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705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'Noise Floor'!$B$1:$B$2</c:f>
              <c:strCache>
                <c:ptCount val="2"/>
                <c:pt idx="1">
                  <c:v>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'Noise Floor'!$A$3:$A$2002</c:f>
              <c:numCache>
                <c:formatCode>0.00E+00</c:formatCode>
                <c:ptCount val="2000"/>
                <c:pt idx="0">
                  <c:v>-5.7899999999999996E-6</c:v>
                </c:pt>
                <c:pt idx="1">
                  <c:v>-5.7849999999999997E-6</c:v>
                </c:pt>
                <c:pt idx="2">
                  <c:v>-5.7799999999999997E-6</c:v>
                </c:pt>
                <c:pt idx="3">
                  <c:v>-5.7749999999999998E-6</c:v>
                </c:pt>
                <c:pt idx="4">
                  <c:v>-5.7699999999999998E-6</c:v>
                </c:pt>
                <c:pt idx="5">
                  <c:v>-5.7649999999999999E-6</c:v>
                </c:pt>
                <c:pt idx="6">
                  <c:v>-5.7599999999999999E-6</c:v>
                </c:pt>
                <c:pt idx="7">
                  <c:v>-5.755E-6</c:v>
                </c:pt>
                <c:pt idx="8">
                  <c:v>-5.75E-6</c:v>
                </c:pt>
                <c:pt idx="9">
                  <c:v>-5.7450000000000001E-6</c:v>
                </c:pt>
                <c:pt idx="10">
                  <c:v>-5.7400000000000001E-6</c:v>
                </c:pt>
                <c:pt idx="11">
                  <c:v>-5.7350000000000001E-6</c:v>
                </c:pt>
                <c:pt idx="12">
                  <c:v>-5.7300000000000002E-6</c:v>
                </c:pt>
                <c:pt idx="13">
                  <c:v>-5.7250000000000002E-6</c:v>
                </c:pt>
                <c:pt idx="14">
                  <c:v>-5.7200000000000003E-6</c:v>
                </c:pt>
                <c:pt idx="15">
                  <c:v>-5.7150000000000003E-6</c:v>
                </c:pt>
                <c:pt idx="16">
                  <c:v>-5.7100000000000004E-6</c:v>
                </c:pt>
                <c:pt idx="17">
                  <c:v>-5.7049999999999996E-6</c:v>
                </c:pt>
                <c:pt idx="18">
                  <c:v>-5.6999999999999996E-6</c:v>
                </c:pt>
                <c:pt idx="19">
                  <c:v>-5.6949999999999997E-6</c:v>
                </c:pt>
                <c:pt idx="20">
                  <c:v>-5.6899999999999997E-6</c:v>
                </c:pt>
                <c:pt idx="21">
                  <c:v>-5.6849999999999998E-6</c:v>
                </c:pt>
                <c:pt idx="22">
                  <c:v>-5.6799999999999998E-6</c:v>
                </c:pt>
                <c:pt idx="23">
                  <c:v>-5.6749999999999999E-6</c:v>
                </c:pt>
                <c:pt idx="24">
                  <c:v>-5.6699999999999999E-6</c:v>
                </c:pt>
                <c:pt idx="25">
                  <c:v>-5.665E-6</c:v>
                </c:pt>
                <c:pt idx="26">
                  <c:v>-5.66E-6</c:v>
                </c:pt>
                <c:pt idx="27">
                  <c:v>-5.6550000000000001E-6</c:v>
                </c:pt>
                <c:pt idx="28">
                  <c:v>-5.6500000000000001E-6</c:v>
                </c:pt>
                <c:pt idx="29">
                  <c:v>-5.6450000000000002E-6</c:v>
                </c:pt>
                <c:pt idx="30">
                  <c:v>-5.6400000000000002E-6</c:v>
                </c:pt>
                <c:pt idx="31">
                  <c:v>-5.6350000000000003E-6</c:v>
                </c:pt>
                <c:pt idx="32">
                  <c:v>-5.6300000000000003E-6</c:v>
                </c:pt>
                <c:pt idx="33">
                  <c:v>-5.6250000000000004E-6</c:v>
                </c:pt>
                <c:pt idx="34">
                  <c:v>-5.6200000000000004E-6</c:v>
                </c:pt>
                <c:pt idx="35">
                  <c:v>-5.6149999999999996E-6</c:v>
                </c:pt>
                <c:pt idx="36">
                  <c:v>-5.6099999999999997E-6</c:v>
                </c:pt>
                <c:pt idx="37">
                  <c:v>-5.6049999999999997E-6</c:v>
                </c:pt>
                <c:pt idx="38">
                  <c:v>-5.5999999999999997E-6</c:v>
                </c:pt>
                <c:pt idx="39">
                  <c:v>-5.5949999999999998E-6</c:v>
                </c:pt>
                <c:pt idx="40">
                  <c:v>-5.5899999999999998E-6</c:v>
                </c:pt>
                <c:pt idx="41">
                  <c:v>-5.5849999999999999E-6</c:v>
                </c:pt>
                <c:pt idx="42">
                  <c:v>-5.5799999999999999E-6</c:v>
                </c:pt>
                <c:pt idx="43">
                  <c:v>-5.575E-6</c:v>
                </c:pt>
                <c:pt idx="44">
                  <c:v>-5.57E-6</c:v>
                </c:pt>
                <c:pt idx="45">
                  <c:v>-5.5650000000000001E-6</c:v>
                </c:pt>
                <c:pt idx="46">
                  <c:v>-5.5600000000000001E-6</c:v>
                </c:pt>
                <c:pt idx="47">
                  <c:v>-5.5550000000000002E-6</c:v>
                </c:pt>
                <c:pt idx="48">
                  <c:v>-5.5500000000000002E-6</c:v>
                </c:pt>
                <c:pt idx="49">
                  <c:v>-5.5450000000000003E-6</c:v>
                </c:pt>
                <c:pt idx="50">
                  <c:v>-5.5400000000000003E-6</c:v>
                </c:pt>
                <c:pt idx="51">
                  <c:v>-5.5350000000000004E-6</c:v>
                </c:pt>
                <c:pt idx="52">
                  <c:v>-5.5300000000000004E-6</c:v>
                </c:pt>
                <c:pt idx="53">
                  <c:v>-5.5249999999999996E-6</c:v>
                </c:pt>
                <c:pt idx="54">
                  <c:v>-5.5199999999999997E-6</c:v>
                </c:pt>
                <c:pt idx="55">
                  <c:v>-5.5149999999999997E-6</c:v>
                </c:pt>
                <c:pt idx="56">
                  <c:v>-5.5099999999999998E-6</c:v>
                </c:pt>
                <c:pt idx="57">
                  <c:v>-5.5049999999999998E-6</c:v>
                </c:pt>
                <c:pt idx="58">
                  <c:v>-5.4999999999999999E-6</c:v>
                </c:pt>
                <c:pt idx="59">
                  <c:v>-5.4949999999999999E-6</c:v>
                </c:pt>
                <c:pt idx="60">
                  <c:v>-5.49E-6</c:v>
                </c:pt>
                <c:pt idx="61">
                  <c:v>-5.485E-6</c:v>
                </c:pt>
                <c:pt idx="62">
                  <c:v>-5.48E-6</c:v>
                </c:pt>
                <c:pt idx="63">
                  <c:v>-5.4750000000000001E-6</c:v>
                </c:pt>
                <c:pt idx="64">
                  <c:v>-5.4700000000000001E-6</c:v>
                </c:pt>
                <c:pt idx="65">
                  <c:v>-5.4650000000000002E-6</c:v>
                </c:pt>
                <c:pt idx="66">
                  <c:v>-5.4600000000000002E-6</c:v>
                </c:pt>
                <c:pt idx="67">
                  <c:v>-5.4550000000000003E-6</c:v>
                </c:pt>
                <c:pt idx="68">
                  <c:v>-5.4500000000000003E-6</c:v>
                </c:pt>
                <c:pt idx="69">
                  <c:v>-5.4450000000000004E-6</c:v>
                </c:pt>
                <c:pt idx="70">
                  <c:v>-5.4399999999999996E-6</c:v>
                </c:pt>
                <c:pt idx="71">
                  <c:v>-5.4349999999999996E-6</c:v>
                </c:pt>
                <c:pt idx="72">
                  <c:v>-5.4299999999999997E-6</c:v>
                </c:pt>
                <c:pt idx="73">
                  <c:v>-5.4249999999999997E-6</c:v>
                </c:pt>
                <c:pt idx="74">
                  <c:v>-5.4199999999999998E-6</c:v>
                </c:pt>
                <c:pt idx="75">
                  <c:v>-5.4149999999999998E-6</c:v>
                </c:pt>
                <c:pt idx="76">
                  <c:v>-5.4099999999999999E-6</c:v>
                </c:pt>
                <c:pt idx="77">
                  <c:v>-5.4049999999999999E-6</c:v>
                </c:pt>
                <c:pt idx="78">
                  <c:v>-5.4E-6</c:v>
                </c:pt>
                <c:pt idx="79">
                  <c:v>-5.395E-6</c:v>
                </c:pt>
                <c:pt idx="80">
                  <c:v>-5.3900000000000001E-6</c:v>
                </c:pt>
                <c:pt idx="81">
                  <c:v>-5.3850000000000001E-6</c:v>
                </c:pt>
                <c:pt idx="82">
                  <c:v>-5.3800000000000002E-6</c:v>
                </c:pt>
                <c:pt idx="83">
                  <c:v>-5.3750000000000002E-6</c:v>
                </c:pt>
                <c:pt idx="84">
                  <c:v>-5.3700000000000003E-6</c:v>
                </c:pt>
                <c:pt idx="85">
                  <c:v>-5.3650000000000003E-6</c:v>
                </c:pt>
                <c:pt idx="86">
                  <c:v>-5.3600000000000004E-6</c:v>
                </c:pt>
                <c:pt idx="87">
                  <c:v>-5.3550000000000004E-6</c:v>
                </c:pt>
                <c:pt idx="88">
                  <c:v>-5.3499999999999996E-6</c:v>
                </c:pt>
                <c:pt idx="89">
                  <c:v>-5.3449999999999996E-6</c:v>
                </c:pt>
                <c:pt idx="90">
                  <c:v>-5.3399999999999997E-6</c:v>
                </c:pt>
                <c:pt idx="91">
                  <c:v>-5.3349999999999997E-6</c:v>
                </c:pt>
                <c:pt idx="92">
                  <c:v>-5.3299999999999998E-6</c:v>
                </c:pt>
                <c:pt idx="93">
                  <c:v>-5.3249999999999998E-6</c:v>
                </c:pt>
                <c:pt idx="94">
                  <c:v>-5.3199999999999999E-6</c:v>
                </c:pt>
                <c:pt idx="95">
                  <c:v>-5.3149999999999999E-6</c:v>
                </c:pt>
                <c:pt idx="96">
                  <c:v>-5.31E-6</c:v>
                </c:pt>
                <c:pt idx="97">
                  <c:v>-5.305E-6</c:v>
                </c:pt>
                <c:pt idx="98">
                  <c:v>-5.3000000000000001E-6</c:v>
                </c:pt>
                <c:pt idx="99">
                  <c:v>-5.2950000000000001E-6</c:v>
                </c:pt>
                <c:pt idx="100">
                  <c:v>-5.2900000000000002E-6</c:v>
                </c:pt>
                <c:pt idx="101">
                  <c:v>-5.2850000000000002E-6</c:v>
                </c:pt>
                <c:pt idx="102">
                  <c:v>-5.2800000000000003E-6</c:v>
                </c:pt>
                <c:pt idx="103">
                  <c:v>-5.2750000000000003E-6</c:v>
                </c:pt>
                <c:pt idx="104">
                  <c:v>-5.2700000000000004E-6</c:v>
                </c:pt>
                <c:pt idx="105">
                  <c:v>-5.2650000000000004E-6</c:v>
                </c:pt>
                <c:pt idx="106">
                  <c:v>-5.2599999999999996E-6</c:v>
                </c:pt>
                <c:pt idx="107">
                  <c:v>-5.2549999999999997E-6</c:v>
                </c:pt>
                <c:pt idx="108">
                  <c:v>-5.2499999999999997E-6</c:v>
                </c:pt>
                <c:pt idx="109">
                  <c:v>-5.2449999999999998E-6</c:v>
                </c:pt>
                <c:pt idx="110">
                  <c:v>-5.2399999999999998E-6</c:v>
                </c:pt>
                <c:pt idx="111">
                  <c:v>-5.2349999999999999E-6</c:v>
                </c:pt>
                <c:pt idx="112">
                  <c:v>-5.2299999999999999E-6</c:v>
                </c:pt>
                <c:pt idx="113">
                  <c:v>-5.2249999999999999E-6</c:v>
                </c:pt>
                <c:pt idx="114">
                  <c:v>-5.22E-6</c:v>
                </c:pt>
                <c:pt idx="115">
                  <c:v>-5.215E-6</c:v>
                </c:pt>
                <c:pt idx="116">
                  <c:v>-5.2100000000000001E-6</c:v>
                </c:pt>
                <c:pt idx="117">
                  <c:v>-5.2050000000000001E-6</c:v>
                </c:pt>
                <c:pt idx="118">
                  <c:v>-5.2000000000000002E-6</c:v>
                </c:pt>
                <c:pt idx="119">
                  <c:v>-5.1950000000000002E-6</c:v>
                </c:pt>
                <c:pt idx="120">
                  <c:v>-5.1900000000000003E-6</c:v>
                </c:pt>
                <c:pt idx="121">
                  <c:v>-5.1850000000000003E-6</c:v>
                </c:pt>
                <c:pt idx="122">
                  <c:v>-5.1800000000000004E-6</c:v>
                </c:pt>
                <c:pt idx="123">
                  <c:v>-5.1749999999999996E-6</c:v>
                </c:pt>
                <c:pt idx="124">
                  <c:v>-5.1699999999999996E-6</c:v>
                </c:pt>
                <c:pt idx="125">
                  <c:v>-5.1649999999999997E-6</c:v>
                </c:pt>
                <c:pt idx="126">
                  <c:v>-5.1599999999999997E-6</c:v>
                </c:pt>
                <c:pt idx="127">
                  <c:v>-5.1549999999999998E-6</c:v>
                </c:pt>
                <c:pt idx="128">
                  <c:v>-5.1499999999999998E-6</c:v>
                </c:pt>
                <c:pt idx="129">
                  <c:v>-5.1449999999999999E-6</c:v>
                </c:pt>
                <c:pt idx="130">
                  <c:v>-5.1399999999999999E-6</c:v>
                </c:pt>
                <c:pt idx="131">
                  <c:v>-5.135E-6</c:v>
                </c:pt>
                <c:pt idx="132">
                  <c:v>-5.13E-6</c:v>
                </c:pt>
                <c:pt idx="133">
                  <c:v>-5.1250000000000001E-6</c:v>
                </c:pt>
                <c:pt idx="134">
                  <c:v>-5.1200000000000001E-6</c:v>
                </c:pt>
                <c:pt idx="135">
                  <c:v>-5.1150000000000002E-6</c:v>
                </c:pt>
                <c:pt idx="136">
                  <c:v>-5.1100000000000002E-6</c:v>
                </c:pt>
                <c:pt idx="137">
                  <c:v>-5.1050000000000003E-6</c:v>
                </c:pt>
                <c:pt idx="138">
                  <c:v>-5.1000000000000003E-6</c:v>
                </c:pt>
                <c:pt idx="139">
                  <c:v>-5.0950000000000003E-6</c:v>
                </c:pt>
                <c:pt idx="140">
                  <c:v>-5.0900000000000004E-6</c:v>
                </c:pt>
                <c:pt idx="141">
                  <c:v>-5.0849999999999996E-6</c:v>
                </c:pt>
                <c:pt idx="142">
                  <c:v>-5.0799999999999996E-6</c:v>
                </c:pt>
                <c:pt idx="143">
                  <c:v>-5.0749999999999997E-6</c:v>
                </c:pt>
                <c:pt idx="144">
                  <c:v>-5.0699999999999997E-6</c:v>
                </c:pt>
                <c:pt idx="145">
                  <c:v>-5.0649999999999998E-6</c:v>
                </c:pt>
                <c:pt idx="146">
                  <c:v>-5.0599999999999998E-6</c:v>
                </c:pt>
                <c:pt idx="147">
                  <c:v>-5.0549999999999999E-6</c:v>
                </c:pt>
                <c:pt idx="148">
                  <c:v>-5.0499999999999999E-6</c:v>
                </c:pt>
                <c:pt idx="149">
                  <c:v>-5.045E-6</c:v>
                </c:pt>
                <c:pt idx="150">
                  <c:v>-5.04E-6</c:v>
                </c:pt>
                <c:pt idx="151">
                  <c:v>-5.0350000000000001E-6</c:v>
                </c:pt>
                <c:pt idx="152">
                  <c:v>-5.0300000000000001E-6</c:v>
                </c:pt>
                <c:pt idx="153">
                  <c:v>-5.0250000000000002E-6</c:v>
                </c:pt>
                <c:pt idx="154">
                  <c:v>-5.0200000000000002E-6</c:v>
                </c:pt>
                <c:pt idx="155">
                  <c:v>-5.0150000000000003E-6</c:v>
                </c:pt>
                <c:pt idx="156">
                  <c:v>-5.0100000000000003E-6</c:v>
                </c:pt>
                <c:pt idx="157">
                  <c:v>-5.0050000000000004E-6</c:v>
                </c:pt>
                <c:pt idx="158">
                  <c:v>-5.0000000000000004E-6</c:v>
                </c:pt>
                <c:pt idx="159">
                  <c:v>-4.9949999999999996E-6</c:v>
                </c:pt>
                <c:pt idx="160">
                  <c:v>-4.9899999999999997E-6</c:v>
                </c:pt>
                <c:pt idx="161">
                  <c:v>-4.9849999999999997E-6</c:v>
                </c:pt>
                <c:pt idx="162">
                  <c:v>-4.9799999999999998E-6</c:v>
                </c:pt>
                <c:pt idx="163">
                  <c:v>-4.9749999999999998E-6</c:v>
                </c:pt>
                <c:pt idx="164">
                  <c:v>-4.9699999999999998E-6</c:v>
                </c:pt>
                <c:pt idx="165">
                  <c:v>-4.9649999999999999E-6</c:v>
                </c:pt>
                <c:pt idx="166">
                  <c:v>-4.9599999999999999E-6</c:v>
                </c:pt>
                <c:pt idx="167">
                  <c:v>-4.955E-6</c:v>
                </c:pt>
                <c:pt idx="168">
                  <c:v>-4.95E-6</c:v>
                </c:pt>
                <c:pt idx="169">
                  <c:v>-4.9450000000000001E-6</c:v>
                </c:pt>
                <c:pt idx="170">
                  <c:v>-4.9400000000000001E-6</c:v>
                </c:pt>
                <c:pt idx="171">
                  <c:v>-4.9350000000000002E-6</c:v>
                </c:pt>
                <c:pt idx="172">
                  <c:v>-4.9300000000000002E-6</c:v>
                </c:pt>
                <c:pt idx="173">
                  <c:v>-4.9250000000000003E-6</c:v>
                </c:pt>
                <c:pt idx="174">
                  <c:v>-4.9200000000000003E-6</c:v>
                </c:pt>
                <c:pt idx="175">
                  <c:v>-4.9150000000000004E-6</c:v>
                </c:pt>
                <c:pt idx="176">
                  <c:v>-4.9100000000000004E-6</c:v>
                </c:pt>
                <c:pt idx="177">
                  <c:v>-4.9049999999999996E-6</c:v>
                </c:pt>
                <c:pt idx="178">
                  <c:v>-4.8999999999999997E-6</c:v>
                </c:pt>
                <c:pt idx="179">
                  <c:v>-4.8949999999999997E-6</c:v>
                </c:pt>
                <c:pt idx="180">
                  <c:v>-4.8899999999999998E-6</c:v>
                </c:pt>
                <c:pt idx="181">
                  <c:v>-4.8849999999999998E-6</c:v>
                </c:pt>
                <c:pt idx="182">
                  <c:v>-4.8799999999999999E-6</c:v>
                </c:pt>
                <c:pt idx="183">
                  <c:v>-4.8749999999999999E-6</c:v>
                </c:pt>
                <c:pt idx="184">
                  <c:v>-4.87E-6</c:v>
                </c:pt>
                <c:pt idx="185">
                  <c:v>-4.865E-6</c:v>
                </c:pt>
                <c:pt idx="186">
                  <c:v>-4.8600000000000001E-6</c:v>
                </c:pt>
                <c:pt idx="187">
                  <c:v>-4.8550000000000001E-6</c:v>
                </c:pt>
                <c:pt idx="188">
                  <c:v>-4.8500000000000002E-6</c:v>
                </c:pt>
                <c:pt idx="189">
                  <c:v>-4.8450000000000002E-6</c:v>
                </c:pt>
                <c:pt idx="190">
                  <c:v>-4.8400000000000002E-6</c:v>
                </c:pt>
                <c:pt idx="191">
                  <c:v>-4.8350000000000003E-6</c:v>
                </c:pt>
                <c:pt idx="192">
                  <c:v>-4.8300000000000003E-6</c:v>
                </c:pt>
                <c:pt idx="193">
                  <c:v>-4.8250000000000004E-6</c:v>
                </c:pt>
                <c:pt idx="194">
                  <c:v>-4.8199999999999996E-6</c:v>
                </c:pt>
                <c:pt idx="195">
                  <c:v>-4.8149999999999996E-6</c:v>
                </c:pt>
                <c:pt idx="196">
                  <c:v>-4.8099999999999997E-6</c:v>
                </c:pt>
                <c:pt idx="197">
                  <c:v>-4.8049999999999997E-6</c:v>
                </c:pt>
                <c:pt idx="198">
                  <c:v>-4.7999999999999998E-6</c:v>
                </c:pt>
                <c:pt idx="199">
                  <c:v>-4.7949999999999998E-6</c:v>
                </c:pt>
                <c:pt idx="200">
                  <c:v>-4.7899999999999999E-6</c:v>
                </c:pt>
                <c:pt idx="201">
                  <c:v>-4.7849999999999999E-6</c:v>
                </c:pt>
                <c:pt idx="202">
                  <c:v>-4.78E-6</c:v>
                </c:pt>
                <c:pt idx="203">
                  <c:v>-4.775E-6</c:v>
                </c:pt>
                <c:pt idx="204">
                  <c:v>-4.7700000000000001E-6</c:v>
                </c:pt>
                <c:pt idx="205">
                  <c:v>-4.7650000000000001E-6</c:v>
                </c:pt>
                <c:pt idx="206">
                  <c:v>-4.7600000000000002E-6</c:v>
                </c:pt>
                <c:pt idx="207">
                  <c:v>-4.7550000000000002E-6</c:v>
                </c:pt>
                <c:pt idx="208">
                  <c:v>-4.7500000000000003E-6</c:v>
                </c:pt>
                <c:pt idx="209">
                  <c:v>-4.7450000000000003E-6</c:v>
                </c:pt>
                <c:pt idx="210">
                  <c:v>-4.7400000000000004E-6</c:v>
                </c:pt>
                <c:pt idx="211">
                  <c:v>-4.7350000000000004E-6</c:v>
                </c:pt>
                <c:pt idx="212">
                  <c:v>-4.7299999999999996E-6</c:v>
                </c:pt>
                <c:pt idx="213">
                  <c:v>-4.7249999999999997E-6</c:v>
                </c:pt>
                <c:pt idx="214">
                  <c:v>-4.7199999999999997E-6</c:v>
                </c:pt>
                <c:pt idx="215">
                  <c:v>-4.7149999999999997E-6</c:v>
                </c:pt>
                <c:pt idx="216">
                  <c:v>-4.7099999999999998E-6</c:v>
                </c:pt>
                <c:pt idx="217">
                  <c:v>-4.7049999999999998E-6</c:v>
                </c:pt>
                <c:pt idx="218">
                  <c:v>-4.6999999999999999E-6</c:v>
                </c:pt>
                <c:pt idx="219">
                  <c:v>-4.6949999999999999E-6</c:v>
                </c:pt>
                <c:pt idx="220">
                  <c:v>-4.69E-6</c:v>
                </c:pt>
                <c:pt idx="221">
                  <c:v>-4.685E-6</c:v>
                </c:pt>
                <c:pt idx="222">
                  <c:v>-4.6800000000000001E-6</c:v>
                </c:pt>
                <c:pt idx="223">
                  <c:v>-4.6750000000000001E-6</c:v>
                </c:pt>
                <c:pt idx="224">
                  <c:v>-4.6700000000000002E-6</c:v>
                </c:pt>
                <c:pt idx="225">
                  <c:v>-4.6650000000000002E-6</c:v>
                </c:pt>
                <c:pt idx="226">
                  <c:v>-4.6600000000000003E-6</c:v>
                </c:pt>
                <c:pt idx="227">
                  <c:v>-4.6550000000000003E-6</c:v>
                </c:pt>
                <c:pt idx="228">
                  <c:v>-4.6500000000000004E-6</c:v>
                </c:pt>
                <c:pt idx="229">
                  <c:v>-4.6450000000000004E-6</c:v>
                </c:pt>
                <c:pt idx="230">
                  <c:v>-4.6399999999999996E-6</c:v>
                </c:pt>
                <c:pt idx="231">
                  <c:v>-4.6349999999999997E-6</c:v>
                </c:pt>
                <c:pt idx="232">
                  <c:v>-4.6299999999999997E-6</c:v>
                </c:pt>
                <c:pt idx="233">
                  <c:v>-4.6249999999999998E-6</c:v>
                </c:pt>
                <c:pt idx="234">
                  <c:v>-4.6199999999999998E-6</c:v>
                </c:pt>
                <c:pt idx="235">
                  <c:v>-4.6149999999999999E-6</c:v>
                </c:pt>
                <c:pt idx="236">
                  <c:v>-4.6099999999999999E-6</c:v>
                </c:pt>
                <c:pt idx="237">
                  <c:v>-4.605E-6</c:v>
                </c:pt>
                <c:pt idx="238">
                  <c:v>-4.6E-6</c:v>
                </c:pt>
                <c:pt idx="239">
                  <c:v>-4.5950000000000001E-6</c:v>
                </c:pt>
                <c:pt idx="240">
                  <c:v>-4.5900000000000001E-6</c:v>
                </c:pt>
                <c:pt idx="241">
                  <c:v>-4.5850000000000001E-6</c:v>
                </c:pt>
                <c:pt idx="242">
                  <c:v>-4.5800000000000002E-6</c:v>
                </c:pt>
                <c:pt idx="243">
                  <c:v>-4.5750000000000002E-6</c:v>
                </c:pt>
                <c:pt idx="244">
                  <c:v>-4.5700000000000003E-6</c:v>
                </c:pt>
                <c:pt idx="245">
                  <c:v>-4.5650000000000003E-6</c:v>
                </c:pt>
                <c:pt idx="246">
                  <c:v>-4.5600000000000004E-6</c:v>
                </c:pt>
                <c:pt idx="247">
                  <c:v>-4.5549999999999996E-6</c:v>
                </c:pt>
                <c:pt idx="248">
                  <c:v>-4.5499999999999996E-6</c:v>
                </c:pt>
                <c:pt idx="249">
                  <c:v>-4.5449999999999997E-6</c:v>
                </c:pt>
                <c:pt idx="250">
                  <c:v>-4.5399999999999997E-6</c:v>
                </c:pt>
                <c:pt idx="251">
                  <c:v>-4.5349999999999998E-6</c:v>
                </c:pt>
                <c:pt idx="252">
                  <c:v>-4.5299999999999998E-6</c:v>
                </c:pt>
                <c:pt idx="253">
                  <c:v>-4.5249999999999999E-6</c:v>
                </c:pt>
                <c:pt idx="254">
                  <c:v>-4.5199999999999999E-6</c:v>
                </c:pt>
                <c:pt idx="255">
                  <c:v>-4.515E-6</c:v>
                </c:pt>
                <c:pt idx="256">
                  <c:v>-4.51E-6</c:v>
                </c:pt>
                <c:pt idx="257">
                  <c:v>-4.5050000000000001E-6</c:v>
                </c:pt>
                <c:pt idx="258">
                  <c:v>-4.5000000000000001E-6</c:v>
                </c:pt>
                <c:pt idx="259">
                  <c:v>-4.4950000000000002E-6</c:v>
                </c:pt>
                <c:pt idx="260">
                  <c:v>-4.4900000000000002E-6</c:v>
                </c:pt>
                <c:pt idx="261">
                  <c:v>-4.4850000000000003E-6</c:v>
                </c:pt>
                <c:pt idx="262">
                  <c:v>-4.4800000000000003E-6</c:v>
                </c:pt>
                <c:pt idx="263">
                  <c:v>-4.4750000000000004E-6</c:v>
                </c:pt>
                <c:pt idx="264">
                  <c:v>-4.4700000000000004E-6</c:v>
                </c:pt>
                <c:pt idx="265">
                  <c:v>-4.4649999999999996E-6</c:v>
                </c:pt>
                <c:pt idx="266">
                  <c:v>-4.4599999999999996E-6</c:v>
                </c:pt>
                <c:pt idx="267">
                  <c:v>-4.4549999999999997E-6</c:v>
                </c:pt>
                <c:pt idx="268">
                  <c:v>-4.4499999999999997E-6</c:v>
                </c:pt>
                <c:pt idx="269">
                  <c:v>-4.4449999999999998E-6</c:v>
                </c:pt>
                <c:pt idx="270">
                  <c:v>-4.4399999999999998E-6</c:v>
                </c:pt>
                <c:pt idx="271">
                  <c:v>-4.4349999999999999E-6</c:v>
                </c:pt>
                <c:pt idx="272">
                  <c:v>-4.4299999999999999E-6</c:v>
                </c:pt>
                <c:pt idx="273">
                  <c:v>-4.425E-6</c:v>
                </c:pt>
                <c:pt idx="274">
                  <c:v>-4.42E-6</c:v>
                </c:pt>
                <c:pt idx="275">
                  <c:v>-4.4150000000000001E-6</c:v>
                </c:pt>
                <c:pt idx="276">
                  <c:v>-4.4100000000000001E-6</c:v>
                </c:pt>
                <c:pt idx="277">
                  <c:v>-4.4050000000000002E-6</c:v>
                </c:pt>
                <c:pt idx="278">
                  <c:v>-4.4000000000000002E-6</c:v>
                </c:pt>
                <c:pt idx="279">
                  <c:v>-4.3950000000000003E-6</c:v>
                </c:pt>
                <c:pt idx="280">
                  <c:v>-4.3900000000000003E-6</c:v>
                </c:pt>
                <c:pt idx="281">
                  <c:v>-4.3850000000000004E-6</c:v>
                </c:pt>
                <c:pt idx="282">
                  <c:v>-4.3800000000000004E-6</c:v>
                </c:pt>
                <c:pt idx="283">
                  <c:v>-4.3749999999999996E-6</c:v>
                </c:pt>
                <c:pt idx="284">
                  <c:v>-4.3699999999999997E-6</c:v>
                </c:pt>
                <c:pt idx="285">
                  <c:v>-4.3649999999999997E-6</c:v>
                </c:pt>
                <c:pt idx="286">
                  <c:v>-4.3599999999999998E-6</c:v>
                </c:pt>
                <c:pt idx="287">
                  <c:v>-4.3549999999999998E-6</c:v>
                </c:pt>
                <c:pt idx="288">
                  <c:v>-4.3499999999999999E-6</c:v>
                </c:pt>
                <c:pt idx="289">
                  <c:v>-4.3449999999999999E-6</c:v>
                </c:pt>
                <c:pt idx="290">
                  <c:v>-4.34E-6</c:v>
                </c:pt>
                <c:pt idx="291">
                  <c:v>-4.335E-6</c:v>
                </c:pt>
                <c:pt idx="292">
                  <c:v>-4.33E-6</c:v>
                </c:pt>
                <c:pt idx="293">
                  <c:v>-4.3250000000000001E-6</c:v>
                </c:pt>
                <c:pt idx="294">
                  <c:v>-4.3200000000000001E-6</c:v>
                </c:pt>
                <c:pt idx="295">
                  <c:v>-4.3150000000000002E-6</c:v>
                </c:pt>
                <c:pt idx="296">
                  <c:v>-4.3100000000000002E-6</c:v>
                </c:pt>
                <c:pt idx="297">
                  <c:v>-4.3050000000000003E-6</c:v>
                </c:pt>
                <c:pt idx="298">
                  <c:v>-4.3000000000000003E-6</c:v>
                </c:pt>
                <c:pt idx="299">
                  <c:v>-4.2950000000000004E-6</c:v>
                </c:pt>
                <c:pt idx="300">
                  <c:v>-4.2899999999999996E-6</c:v>
                </c:pt>
                <c:pt idx="301">
                  <c:v>-4.2849999999999996E-6</c:v>
                </c:pt>
                <c:pt idx="302">
                  <c:v>-4.2799999999999997E-6</c:v>
                </c:pt>
                <c:pt idx="303">
                  <c:v>-4.2749999999999997E-6</c:v>
                </c:pt>
                <c:pt idx="304">
                  <c:v>-4.2699999999999998E-6</c:v>
                </c:pt>
                <c:pt idx="305">
                  <c:v>-4.2649999999999998E-6</c:v>
                </c:pt>
                <c:pt idx="306">
                  <c:v>-4.2599999999999999E-6</c:v>
                </c:pt>
                <c:pt idx="307">
                  <c:v>-4.2549999999999999E-6</c:v>
                </c:pt>
                <c:pt idx="308">
                  <c:v>-4.25E-6</c:v>
                </c:pt>
                <c:pt idx="309">
                  <c:v>-4.245E-6</c:v>
                </c:pt>
                <c:pt idx="310">
                  <c:v>-4.2400000000000001E-6</c:v>
                </c:pt>
                <c:pt idx="311">
                  <c:v>-4.2350000000000001E-6</c:v>
                </c:pt>
                <c:pt idx="312">
                  <c:v>-4.2300000000000002E-6</c:v>
                </c:pt>
                <c:pt idx="313">
                  <c:v>-4.2250000000000002E-6</c:v>
                </c:pt>
                <c:pt idx="314">
                  <c:v>-4.2200000000000003E-6</c:v>
                </c:pt>
                <c:pt idx="315">
                  <c:v>-4.2150000000000003E-6</c:v>
                </c:pt>
                <c:pt idx="316">
                  <c:v>-4.2100000000000003E-6</c:v>
                </c:pt>
                <c:pt idx="317">
                  <c:v>-4.2050000000000004E-6</c:v>
                </c:pt>
                <c:pt idx="318">
                  <c:v>-4.1999999999999996E-6</c:v>
                </c:pt>
                <c:pt idx="319">
                  <c:v>-4.1949999999999996E-6</c:v>
                </c:pt>
                <c:pt idx="320">
                  <c:v>-4.1899999999999997E-6</c:v>
                </c:pt>
                <c:pt idx="321">
                  <c:v>-4.1849999999999997E-6</c:v>
                </c:pt>
                <c:pt idx="322">
                  <c:v>-4.1799999999999998E-6</c:v>
                </c:pt>
                <c:pt idx="323">
                  <c:v>-4.1749999999999998E-6</c:v>
                </c:pt>
                <c:pt idx="324">
                  <c:v>-4.1699999999999999E-6</c:v>
                </c:pt>
                <c:pt idx="325">
                  <c:v>-4.1649999999999999E-6</c:v>
                </c:pt>
                <c:pt idx="326">
                  <c:v>-4.16E-6</c:v>
                </c:pt>
                <c:pt idx="327">
                  <c:v>-4.155E-6</c:v>
                </c:pt>
                <c:pt idx="328">
                  <c:v>-4.1500000000000001E-6</c:v>
                </c:pt>
                <c:pt idx="329">
                  <c:v>-4.1450000000000001E-6</c:v>
                </c:pt>
                <c:pt idx="330">
                  <c:v>-4.1400000000000002E-6</c:v>
                </c:pt>
                <c:pt idx="331">
                  <c:v>-4.1350000000000002E-6</c:v>
                </c:pt>
                <c:pt idx="332">
                  <c:v>-4.1300000000000003E-6</c:v>
                </c:pt>
                <c:pt idx="333">
                  <c:v>-4.1250000000000003E-6</c:v>
                </c:pt>
                <c:pt idx="334">
                  <c:v>-4.1200000000000004E-6</c:v>
                </c:pt>
                <c:pt idx="335">
                  <c:v>-4.1150000000000004E-6</c:v>
                </c:pt>
                <c:pt idx="336">
                  <c:v>-4.1099999999999996E-6</c:v>
                </c:pt>
                <c:pt idx="337">
                  <c:v>-4.1049999999999997E-6</c:v>
                </c:pt>
                <c:pt idx="338">
                  <c:v>-4.0999999999999997E-6</c:v>
                </c:pt>
                <c:pt idx="339">
                  <c:v>-4.0949999999999998E-6</c:v>
                </c:pt>
                <c:pt idx="340">
                  <c:v>-4.0899999999999998E-6</c:v>
                </c:pt>
                <c:pt idx="341">
                  <c:v>-4.0849999999999999E-6</c:v>
                </c:pt>
                <c:pt idx="342">
                  <c:v>-4.0799999999999999E-6</c:v>
                </c:pt>
                <c:pt idx="343">
                  <c:v>-4.0749999999999999E-6</c:v>
                </c:pt>
                <c:pt idx="344">
                  <c:v>-4.07E-6</c:v>
                </c:pt>
                <c:pt idx="345">
                  <c:v>-4.065E-6</c:v>
                </c:pt>
                <c:pt idx="346">
                  <c:v>-4.0600000000000001E-6</c:v>
                </c:pt>
                <c:pt idx="347">
                  <c:v>-4.0550000000000001E-6</c:v>
                </c:pt>
                <c:pt idx="348">
                  <c:v>-4.0500000000000002E-6</c:v>
                </c:pt>
                <c:pt idx="349">
                  <c:v>-4.0450000000000002E-6</c:v>
                </c:pt>
                <c:pt idx="350">
                  <c:v>-4.0400000000000003E-6</c:v>
                </c:pt>
                <c:pt idx="351">
                  <c:v>-4.0350000000000003E-6</c:v>
                </c:pt>
                <c:pt idx="352">
                  <c:v>-4.0300000000000004E-6</c:v>
                </c:pt>
                <c:pt idx="353">
                  <c:v>-4.0249999999999996E-6</c:v>
                </c:pt>
                <c:pt idx="354">
                  <c:v>-4.0199999999999996E-6</c:v>
                </c:pt>
                <c:pt idx="355">
                  <c:v>-4.0149999999999997E-6</c:v>
                </c:pt>
                <c:pt idx="356">
                  <c:v>-4.0099999999999997E-6</c:v>
                </c:pt>
                <c:pt idx="357">
                  <c:v>-4.0049999999999998E-6</c:v>
                </c:pt>
                <c:pt idx="358">
                  <c:v>-3.9999999999999998E-6</c:v>
                </c:pt>
                <c:pt idx="359">
                  <c:v>-3.9949999999999999E-6</c:v>
                </c:pt>
                <c:pt idx="360">
                  <c:v>-3.9899999999999999E-6</c:v>
                </c:pt>
                <c:pt idx="361">
                  <c:v>-3.985E-6</c:v>
                </c:pt>
                <c:pt idx="362">
                  <c:v>-3.98E-6</c:v>
                </c:pt>
                <c:pt idx="363">
                  <c:v>-3.9750000000000001E-6</c:v>
                </c:pt>
                <c:pt idx="364">
                  <c:v>-3.9700000000000001E-6</c:v>
                </c:pt>
                <c:pt idx="365">
                  <c:v>-3.9650000000000002E-6</c:v>
                </c:pt>
                <c:pt idx="366">
                  <c:v>-3.9600000000000002E-6</c:v>
                </c:pt>
                <c:pt idx="367">
                  <c:v>-3.9550000000000002E-6</c:v>
                </c:pt>
                <c:pt idx="368">
                  <c:v>-3.9500000000000003E-6</c:v>
                </c:pt>
                <c:pt idx="369">
                  <c:v>-3.9450000000000003E-6</c:v>
                </c:pt>
                <c:pt idx="370">
                  <c:v>-3.9400000000000004E-6</c:v>
                </c:pt>
                <c:pt idx="371">
                  <c:v>-3.9349999999999996E-6</c:v>
                </c:pt>
                <c:pt idx="372">
                  <c:v>-3.9299999999999996E-6</c:v>
                </c:pt>
                <c:pt idx="373">
                  <c:v>-3.9249999999999997E-6</c:v>
                </c:pt>
                <c:pt idx="374">
                  <c:v>-3.9199999999999997E-6</c:v>
                </c:pt>
                <c:pt idx="375">
                  <c:v>-3.9149999999999998E-6</c:v>
                </c:pt>
                <c:pt idx="376">
                  <c:v>-3.9099999999999998E-6</c:v>
                </c:pt>
                <c:pt idx="377">
                  <c:v>-3.9049999999999999E-6</c:v>
                </c:pt>
                <c:pt idx="378">
                  <c:v>-3.8999999999999999E-6</c:v>
                </c:pt>
                <c:pt idx="379">
                  <c:v>-3.895E-6</c:v>
                </c:pt>
                <c:pt idx="380">
                  <c:v>-3.89E-6</c:v>
                </c:pt>
                <c:pt idx="381">
                  <c:v>-3.8850000000000001E-6</c:v>
                </c:pt>
                <c:pt idx="382">
                  <c:v>-3.8800000000000001E-6</c:v>
                </c:pt>
                <c:pt idx="383">
                  <c:v>-3.8750000000000002E-6</c:v>
                </c:pt>
                <c:pt idx="384">
                  <c:v>-3.8700000000000002E-6</c:v>
                </c:pt>
                <c:pt idx="385">
                  <c:v>-3.8650000000000003E-6</c:v>
                </c:pt>
                <c:pt idx="386">
                  <c:v>-3.8600000000000003E-6</c:v>
                </c:pt>
                <c:pt idx="387">
                  <c:v>-3.8550000000000004E-6</c:v>
                </c:pt>
                <c:pt idx="388">
                  <c:v>-3.8500000000000004E-6</c:v>
                </c:pt>
                <c:pt idx="389">
                  <c:v>-3.8449999999999996E-6</c:v>
                </c:pt>
                <c:pt idx="390">
                  <c:v>-3.8399999999999997E-6</c:v>
                </c:pt>
                <c:pt idx="391">
                  <c:v>-3.8349999999999997E-6</c:v>
                </c:pt>
                <c:pt idx="392">
                  <c:v>-3.8299999999999998E-6</c:v>
                </c:pt>
                <c:pt idx="393">
                  <c:v>-3.8249999999999998E-6</c:v>
                </c:pt>
                <c:pt idx="394">
                  <c:v>-3.8199999999999998E-6</c:v>
                </c:pt>
                <c:pt idx="395">
                  <c:v>-3.8149999999999999E-6</c:v>
                </c:pt>
                <c:pt idx="396">
                  <c:v>-3.8099999999999999E-6</c:v>
                </c:pt>
                <c:pt idx="397">
                  <c:v>-3.805E-6</c:v>
                </c:pt>
                <c:pt idx="398">
                  <c:v>-3.8E-6</c:v>
                </c:pt>
                <c:pt idx="399">
                  <c:v>-3.7950000000000001E-6</c:v>
                </c:pt>
                <c:pt idx="400">
                  <c:v>-3.7900000000000001E-6</c:v>
                </c:pt>
                <c:pt idx="401">
                  <c:v>-3.7850000000000002E-6</c:v>
                </c:pt>
                <c:pt idx="402">
                  <c:v>-3.7799999999999998E-6</c:v>
                </c:pt>
                <c:pt idx="403">
                  <c:v>-3.7749999999999999E-6</c:v>
                </c:pt>
                <c:pt idx="404">
                  <c:v>-3.7699999999999999E-6</c:v>
                </c:pt>
                <c:pt idx="405">
                  <c:v>-3.765E-6</c:v>
                </c:pt>
                <c:pt idx="406">
                  <c:v>-3.76E-6</c:v>
                </c:pt>
                <c:pt idx="407">
                  <c:v>-3.755E-6</c:v>
                </c:pt>
                <c:pt idx="408">
                  <c:v>-3.7500000000000001E-6</c:v>
                </c:pt>
                <c:pt idx="409">
                  <c:v>-3.7450000000000001E-6</c:v>
                </c:pt>
                <c:pt idx="410">
                  <c:v>-3.7400000000000002E-6</c:v>
                </c:pt>
                <c:pt idx="411">
                  <c:v>-3.7349999999999998E-6</c:v>
                </c:pt>
                <c:pt idx="412">
                  <c:v>-3.7299999999999999E-6</c:v>
                </c:pt>
                <c:pt idx="413">
                  <c:v>-3.7249999999999999E-6</c:v>
                </c:pt>
                <c:pt idx="414">
                  <c:v>-3.72E-6</c:v>
                </c:pt>
                <c:pt idx="415">
                  <c:v>-3.715E-6</c:v>
                </c:pt>
                <c:pt idx="416">
                  <c:v>-3.7100000000000001E-6</c:v>
                </c:pt>
                <c:pt idx="417">
                  <c:v>-3.7050000000000001E-6</c:v>
                </c:pt>
                <c:pt idx="418">
                  <c:v>-3.7000000000000002E-6</c:v>
                </c:pt>
                <c:pt idx="419">
                  <c:v>-3.6950000000000002E-6</c:v>
                </c:pt>
                <c:pt idx="420">
                  <c:v>-3.6899999999999998E-6</c:v>
                </c:pt>
                <c:pt idx="421">
                  <c:v>-3.6849999999999999E-6</c:v>
                </c:pt>
                <c:pt idx="422">
                  <c:v>-3.6799999999999999E-6</c:v>
                </c:pt>
                <c:pt idx="423">
                  <c:v>-3.675E-6</c:v>
                </c:pt>
                <c:pt idx="424">
                  <c:v>-3.67E-6</c:v>
                </c:pt>
                <c:pt idx="425">
                  <c:v>-3.6650000000000001E-6</c:v>
                </c:pt>
                <c:pt idx="426">
                  <c:v>-3.6600000000000001E-6</c:v>
                </c:pt>
                <c:pt idx="427">
                  <c:v>-3.6550000000000002E-6</c:v>
                </c:pt>
                <c:pt idx="428">
                  <c:v>-3.6500000000000002E-6</c:v>
                </c:pt>
                <c:pt idx="429">
                  <c:v>-3.6449999999999998E-6</c:v>
                </c:pt>
                <c:pt idx="430">
                  <c:v>-3.6399999999999999E-6</c:v>
                </c:pt>
                <c:pt idx="431">
                  <c:v>-3.6349999999999999E-6</c:v>
                </c:pt>
                <c:pt idx="432">
                  <c:v>-3.63E-6</c:v>
                </c:pt>
                <c:pt idx="433">
                  <c:v>-3.625E-6</c:v>
                </c:pt>
                <c:pt idx="434">
                  <c:v>-3.6200000000000001E-6</c:v>
                </c:pt>
                <c:pt idx="435">
                  <c:v>-3.6150000000000001E-6</c:v>
                </c:pt>
                <c:pt idx="436">
                  <c:v>-3.6100000000000002E-6</c:v>
                </c:pt>
                <c:pt idx="437">
                  <c:v>-3.6049999999999998E-6</c:v>
                </c:pt>
                <c:pt idx="438">
                  <c:v>-3.5999999999999998E-6</c:v>
                </c:pt>
                <c:pt idx="439">
                  <c:v>-3.5949999999999999E-6</c:v>
                </c:pt>
                <c:pt idx="440">
                  <c:v>-3.5899999999999999E-6</c:v>
                </c:pt>
                <c:pt idx="441">
                  <c:v>-3.585E-6</c:v>
                </c:pt>
                <c:pt idx="442">
                  <c:v>-3.58E-6</c:v>
                </c:pt>
                <c:pt idx="443">
                  <c:v>-3.5750000000000001E-6</c:v>
                </c:pt>
                <c:pt idx="444">
                  <c:v>-3.5700000000000001E-6</c:v>
                </c:pt>
                <c:pt idx="445">
                  <c:v>-3.5650000000000002E-6</c:v>
                </c:pt>
                <c:pt idx="446">
                  <c:v>-3.5599999999999998E-6</c:v>
                </c:pt>
                <c:pt idx="447">
                  <c:v>-3.5549999999999998E-6</c:v>
                </c:pt>
                <c:pt idx="448">
                  <c:v>-3.5499999999999999E-6</c:v>
                </c:pt>
                <c:pt idx="449">
                  <c:v>-3.5449999999999999E-6</c:v>
                </c:pt>
                <c:pt idx="450">
                  <c:v>-3.54E-6</c:v>
                </c:pt>
                <c:pt idx="451">
                  <c:v>-3.535E-6</c:v>
                </c:pt>
                <c:pt idx="452">
                  <c:v>-3.5300000000000001E-6</c:v>
                </c:pt>
                <c:pt idx="453">
                  <c:v>-3.5250000000000001E-6</c:v>
                </c:pt>
                <c:pt idx="454">
                  <c:v>-3.5200000000000002E-6</c:v>
                </c:pt>
                <c:pt idx="455">
                  <c:v>-3.5149999999999998E-6</c:v>
                </c:pt>
                <c:pt idx="456">
                  <c:v>-3.5099999999999999E-6</c:v>
                </c:pt>
                <c:pt idx="457">
                  <c:v>-3.5049999999999999E-6</c:v>
                </c:pt>
                <c:pt idx="458">
                  <c:v>-3.4999999999999999E-6</c:v>
                </c:pt>
                <c:pt idx="459">
                  <c:v>-3.495E-6</c:v>
                </c:pt>
                <c:pt idx="460">
                  <c:v>-3.49E-6</c:v>
                </c:pt>
                <c:pt idx="461">
                  <c:v>-3.4850000000000001E-6</c:v>
                </c:pt>
                <c:pt idx="462">
                  <c:v>-3.4800000000000001E-6</c:v>
                </c:pt>
                <c:pt idx="463">
                  <c:v>-3.4750000000000002E-6</c:v>
                </c:pt>
                <c:pt idx="464">
                  <c:v>-3.4699999999999998E-6</c:v>
                </c:pt>
                <c:pt idx="465">
                  <c:v>-3.4649999999999999E-6</c:v>
                </c:pt>
                <c:pt idx="466">
                  <c:v>-3.4599999999999999E-6</c:v>
                </c:pt>
                <c:pt idx="467">
                  <c:v>-3.455E-6</c:v>
                </c:pt>
                <c:pt idx="468">
                  <c:v>-3.45E-6</c:v>
                </c:pt>
                <c:pt idx="469">
                  <c:v>-3.4450000000000001E-6</c:v>
                </c:pt>
                <c:pt idx="470">
                  <c:v>-3.4400000000000001E-6</c:v>
                </c:pt>
                <c:pt idx="471">
                  <c:v>-3.4350000000000001E-6</c:v>
                </c:pt>
                <c:pt idx="472">
                  <c:v>-3.4300000000000002E-6</c:v>
                </c:pt>
                <c:pt idx="473">
                  <c:v>-3.4249999999999998E-6</c:v>
                </c:pt>
                <c:pt idx="474">
                  <c:v>-3.4199999999999999E-6</c:v>
                </c:pt>
                <c:pt idx="475">
                  <c:v>-3.4149999999999999E-6</c:v>
                </c:pt>
                <c:pt idx="476">
                  <c:v>-3.41E-6</c:v>
                </c:pt>
                <c:pt idx="477">
                  <c:v>-3.405E-6</c:v>
                </c:pt>
                <c:pt idx="478">
                  <c:v>-3.4000000000000001E-6</c:v>
                </c:pt>
                <c:pt idx="479">
                  <c:v>-3.3950000000000001E-6</c:v>
                </c:pt>
                <c:pt idx="480">
                  <c:v>-3.3900000000000002E-6</c:v>
                </c:pt>
                <c:pt idx="481">
                  <c:v>-3.3850000000000002E-6</c:v>
                </c:pt>
                <c:pt idx="482">
                  <c:v>-3.3799999999999998E-6</c:v>
                </c:pt>
                <c:pt idx="483">
                  <c:v>-3.3749999999999999E-6</c:v>
                </c:pt>
                <c:pt idx="484">
                  <c:v>-3.3699999999999999E-6</c:v>
                </c:pt>
                <c:pt idx="485">
                  <c:v>-3.365E-6</c:v>
                </c:pt>
                <c:pt idx="486">
                  <c:v>-3.36E-6</c:v>
                </c:pt>
                <c:pt idx="487">
                  <c:v>-3.3550000000000001E-6</c:v>
                </c:pt>
                <c:pt idx="488">
                  <c:v>-3.3500000000000001E-6</c:v>
                </c:pt>
                <c:pt idx="489">
                  <c:v>-3.3450000000000002E-6</c:v>
                </c:pt>
                <c:pt idx="490">
                  <c:v>-3.3400000000000002E-6</c:v>
                </c:pt>
                <c:pt idx="491">
                  <c:v>-3.3349999999999998E-6</c:v>
                </c:pt>
                <c:pt idx="492">
                  <c:v>-3.3299999999999999E-6</c:v>
                </c:pt>
                <c:pt idx="493">
                  <c:v>-3.3249999999999999E-6</c:v>
                </c:pt>
                <c:pt idx="494">
                  <c:v>-3.32E-6</c:v>
                </c:pt>
                <c:pt idx="495">
                  <c:v>-3.315E-6</c:v>
                </c:pt>
                <c:pt idx="496">
                  <c:v>-3.3100000000000001E-6</c:v>
                </c:pt>
                <c:pt idx="497">
                  <c:v>-3.3050000000000001E-6</c:v>
                </c:pt>
                <c:pt idx="498">
                  <c:v>-3.3000000000000002E-6</c:v>
                </c:pt>
                <c:pt idx="499">
                  <c:v>-3.2949999999999998E-6</c:v>
                </c:pt>
                <c:pt idx="500">
                  <c:v>-3.2899999999999998E-6</c:v>
                </c:pt>
                <c:pt idx="501">
                  <c:v>-3.2849999999999999E-6</c:v>
                </c:pt>
                <c:pt idx="502">
                  <c:v>-3.2799999999999999E-6</c:v>
                </c:pt>
                <c:pt idx="503">
                  <c:v>-3.275E-6</c:v>
                </c:pt>
                <c:pt idx="504">
                  <c:v>-3.27E-6</c:v>
                </c:pt>
                <c:pt idx="505">
                  <c:v>-3.2650000000000001E-6</c:v>
                </c:pt>
                <c:pt idx="506">
                  <c:v>-3.2600000000000001E-6</c:v>
                </c:pt>
                <c:pt idx="507">
                  <c:v>-3.2550000000000002E-6</c:v>
                </c:pt>
                <c:pt idx="508">
                  <c:v>-3.2499999999999998E-6</c:v>
                </c:pt>
                <c:pt idx="509">
                  <c:v>-3.2449999999999998E-6</c:v>
                </c:pt>
                <c:pt idx="510">
                  <c:v>-3.2399999999999999E-6</c:v>
                </c:pt>
                <c:pt idx="511">
                  <c:v>-3.2349999999999999E-6</c:v>
                </c:pt>
                <c:pt idx="512">
                  <c:v>-3.23E-6</c:v>
                </c:pt>
                <c:pt idx="513">
                  <c:v>-3.225E-6</c:v>
                </c:pt>
                <c:pt idx="514">
                  <c:v>-3.2200000000000001E-6</c:v>
                </c:pt>
                <c:pt idx="515">
                  <c:v>-3.2150000000000001E-6</c:v>
                </c:pt>
                <c:pt idx="516">
                  <c:v>-3.2100000000000002E-6</c:v>
                </c:pt>
                <c:pt idx="517">
                  <c:v>-3.2049999999999998E-6</c:v>
                </c:pt>
                <c:pt idx="518">
                  <c:v>-3.1999999999999999E-6</c:v>
                </c:pt>
                <c:pt idx="519">
                  <c:v>-3.1949999999999999E-6</c:v>
                </c:pt>
                <c:pt idx="520">
                  <c:v>-3.19E-6</c:v>
                </c:pt>
                <c:pt idx="521">
                  <c:v>-3.185E-6</c:v>
                </c:pt>
                <c:pt idx="522">
                  <c:v>-3.18E-6</c:v>
                </c:pt>
                <c:pt idx="523">
                  <c:v>-3.1750000000000001E-6</c:v>
                </c:pt>
                <c:pt idx="524">
                  <c:v>-3.1700000000000001E-6</c:v>
                </c:pt>
                <c:pt idx="525">
                  <c:v>-3.1650000000000002E-6</c:v>
                </c:pt>
                <c:pt idx="526">
                  <c:v>-3.1599999999999998E-6</c:v>
                </c:pt>
                <c:pt idx="527">
                  <c:v>-3.1549999999999999E-6</c:v>
                </c:pt>
                <c:pt idx="528">
                  <c:v>-3.1499999999999999E-6</c:v>
                </c:pt>
                <c:pt idx="529">
                  <c:v>-3.145E-6</c:v>
                </c:pt>
                <c:pt idx="530">
                  <c:v>-3.14E-6</c:v>
                </c:pt>
                <c:pt idx="531">
                  <c:v>-3.1350000000000001E-6</c:v>
                </c:pt>
                <c:pt idx="532">
                  <c:v>-3.1300000000000001E-6</c:v>
                </c:pt>
                <c:pt idx="533">
                  <c:v>-3.1250000000000001E-6</c:v>
                </c:pt>
                <c:pt idx="534">
                  <c:v>-3.1200000000000002E-6</c:v>
                </c:pt>
                <c:pt idx="535">
                  <c:v>-3.1149999999999998E-6</c:v>
                </c:pt>
                <c:pt idx="536">
                  <c:v>-3.1099999999999999E-6</c:v>
                </c:pt>
                <c:pt idx="537">
                  <c:v>-3.1049999999999999E-6</c:v>
                </c:pt>
                <c:pt idx="538">
                  <c:v>-3.1E-6</c:v>
                </c:pt>
                <c:pt idx="539">
                  <c:v>-3.095E-6</c:v>
                </c:pt>
                <c:pt idx="540">
                  <c:v>-3.0900000000000001E-6</c:v>
                </c:pt>
                <c:pt idx="541">
                  <c:v>-3.0850000000000001E-6</c:v>
                </c:pt>
                <c:pt idx="542">
                  <c:v>-3.0800000000000002E-6</c:v>
                </c:pt>
                <c:pt idx="543">
                  <c:v>-3.0750000000000002E-6</c:v>
                </c:pt>
                <c:pt idx="544">
                  <c:v>-3.0699999999999998E-6</c:v>
                </c:pt>
                <c:pt idx="545">
                  <c:v>-3.0649999999999999E-6</c:v>
                </c:pt>
                <c:pt idx="546">
                  <c:v>-3.0599999999999999E-6</c:v>
                </c:pt>
                <c:pt idx="547">
                  <c:v>-3.055E-6</c:v>
                </c:pt>
                <c:pt idx="548">
                  <c:v>-3.05E-6</c:v>
                </c:pt>
                <c:pt idx="549">
                  <c:v>-3.0450000000000001E-6</c:v>
                </c:pt>
                <c:pt idx="550">
                  <c:v>-3.0400000000000001E-6</c:v>
                </c:pt>
                <c:pt idx="551">
                  <c:v>-3.0350000000000002E-6</c:v>
                </c:pt>
                <c:pt idx="552">
                  <c:v>-3.0299999999999998E-6</c:v>
                </c:pt>
                <c:pt idx="553">
                  <c:v>-3.0249999999999998E-6</c:v>
                </c:pt>
                <c:pt idx="554">
                  <c:v>-3.0199999999999999E-6</c:v>
                </c:pt>
                <c:pt idx="555">
                  <c:v>-3.0149999999999999E-6</c:v>
                </c:pt>
                <c:pt idx="556">
                  <c:v>-3.01E-6</c:v>
                </c:pt>
                <c:pt idx="557">
                  <c:v>-3.005E-6</c:v>
                </c:pt>
                <c:pt idx="558">
                  <c:v>-3.0000000000000001E-6</c:v>
                </c:pt>
                <c:pt idx="559">
                  <c:v>-2.9950000000000001E-6</c:v>
                </c:pt>
                <c:pt idx="560">
                  <c:v>-2.9900000000000002E-6</c:v>
                </c:pt>
                <c:pt idx="561">
                  <c:v>-2.9849999999999998E-6</c:v>
                </c:pt>
                <c:pt idx="562">
                  <c:v>-2.9799999999999998E-6</c:v>
                </c:pt>
                <c:pt idx="563">
                  <c:v>-2.9749999999999999E-6</c:v>
                </c:pt>
                <c:pt idx="564">
                  <c:v>-2.9699999999999999E-6</c:v>
                </c:pt>
                <c:pt idx="565">
                  <c:v>-2.965E-6</c:v>
                </c:pt>
                <c:pt idx="566">
                  <c:v>-2.96E-6</c:v>
                </c:pt>
                <c:pt idx="567">
                  <c:v>-2.9550000000000001E-6</c:v>
                </c:pt>
                <c:pt idx="568">
                  <c:v>-2.9500000000000001E-6</c:v>
                </c:pt>
                <c:pt idx="569">
                  <c:v>-2.9450000000000002E-6</c:v>
                </c:pt>
                <c:pt idx="570">
                  <c:v>-2.9399999999999998E-6</c:v>
                </c:pt>
                <c:pt idx="571">
                  <c:v>-2.9349999999999999E-6</c:v>
                </c:pt>
                <c:pt idx="572">
                  <c:v>-2.9299999999999999E-6</c:v>
                </c:pt>
                <c:pt idx="573">
                  <c:v>-2.9249999999999999E-6</c:v>
                </c:pt>
                <c:pt idx="574">
                  <c:v>-2.92E-6</c:v>
                </c:pt>
                <c:pt idx="575">
                  <c:v>-2.915E-6</c:v>
                </c:pt>
                <c:pt idx="576">
                  <c:v>-2.9100000000000001E-6</c:v>
                </c:pt>
                <c:pt idx="577">
                  <c:v>-2.9050000000000001E-6</c:v>
                </c:pt>
                <c:pt idx="578">
                  <c:v>-2.9000000000000002E-6</c:v>
                </c:pt>
                <c:pt idx="579">
                  <c:v>-2.8949999999999998E-6</c:v>
                </c:pt>
                <c:pt idx="580">
                  <c:v>-2.8899999999999999E-6</c:v>
                </c:pt>
                <c:pt idx="581">
                  <c:v>-2.8849999999999999E-6</c:v>
                </c:pt>
                <c:pt idx="582">
                  <c:v>-2.88E-6</c:v>
                </c:pt>
                <c:pt idx="583">
                  <c:v>-2.875E-6</c:v>
                </c:pt>
                <c:pt idx="584">
                  <c:v>-2.8700000000000001E-6</c:v>
                </c:pt>
                <c:pt idx="585">
                  <c:v>-2.8650000000000001E-6</c:v>
                </c:pt>
                <c:pt idx="586">
                  <c:v>-2.8600000000000001E-6</c:v>
                </c:pt>
                <c:pt idx="587">
                  <c:v>-2.8550000000000002E-6</c:v>
                </c:pt>
                <c:pt idx="588">
                  <c:v>-2.8499999999999998E-6</c:v>
                </c:pt>
                <c:pt idx="589">
                  <c:v>-2.8449999999999999E-6</c:v>
                </c:pt>
                <c:pt idx="590">
                  <c:v>-2.8399999999999999E-6</c:v>
                </c:pt>
                <c:pt idx="591">
                  <c:v>-2.835E-6</c:v>
                </c:pt>
                <c:pt idx="592">
                  <c:v>-2.83E-6</c:v>
                </c:pt>
                <c:pt idx="593">
                  <c:v>-2.8250000000000001E-6</c:v>
                </c:pt>
                <c:pt idx="594">
                  <c:v>-2.8200000000000001E-6</c:v>
                </c:pt>
                <c:pt idx="595">
                  <c:v>-2.8150000000000002E-6</c:v>
                </c:pt>
                <c:pt idx="596">
                  <c:v>-2.8100000000000002E-6</c:v>
                </c:pt>
                <c:pt idx="597">
                  <c:v>-2.8049999999999998E-6</c:v>
                </c:pt>
                <c:pt idx="598">
                  <c:v>-2.7999999999999999E-6</c:v>
                </c:pt>
                <c:pt idx="599">
                  <c:v>-2.7949999999999999E-6</c:v>
                </c:pt>
                <c:pt idx="600">
                  <c:v>-2.79E-6</c:v>
                </c:pt>
                <c:pt idx="601">
                  <c:v>-2.785E-6</c:v>
                </c:pt>
                <c:pt idx="602">
                  <c:v>-2.7800000000000001E-6</c:v>
                </c:pt>
                <c:pt idx="603">
                  <c:v>-2.7750000000000001E-6</c:v>
                </c:pt>
                <c:pt idx="604">
                  <c:v>-2.7700000000000002E-6</c:v>
                </c:pt>
                <c:pt idx="605">
                  <c:v>-2.7650000000000002E-6</c:v>
                </c:pt>
                <c:pt idx="606">
                  <c:v>-2.7599999999999998E-6</c:v>
                </c:pt>
                <c:pt idx="607">
                  <c:v>-2.7549999999999999E-6</c:v>
                </c:pt>
                <c:pt idx="608">
                  <c:v>-2.7499999999999999E-6</c:v>
                </c:pt>
                <c:pt idx="609">
                  <c:v>-2.745E-6</c:v>
                </c:pt>
                <c:pt idx="610">
                  <c:v>-2.74E-6</c:v>
                </c:pt>
                <c:pt idx="611">
                  <c:v>-2.7350000000000001E-6</c:v>
                </c:pt>
                <c:pt idx="612">
                  <c:v>-2.7300000000000001E-6</c:v>
                </c:pt>
                <c:pt idx="613">
                  <c:v>-2.7250000000000002E-6</c:v>
                </c:pt>
                <c:pt idx="614">
                  <c:v>-2.7199999999999998E-6</c:v>
                </c:pt>
                <c:pt idx="615">
                  <c:v>-2.7149999999999998E-6</c:v>
                </c:pt>
                <c:pt idx="616">
                  <c:v>-2.7099999999999999E-6</c:v>
                </c:pt>
                <c:pt idx="617">
                  <c:v>-2.7049999999999999E-6</c:v>
                </c:pt>
                <c:pt idx="618">
                  <c:v>-2.7E-6</c:v>
                </c:pt>
                <c:pt idx="619">
                  <c:v>-2.695E-6</c:v>
                </c:pt>
                <c:pt idx="620">
                  <c:v>-2.6900000000000001E-6</c:v>
                </c:pt>
                <c:pt idx="621">
                  <c:v>-2.6850000000000001E-6</c:v>
                </c:pt>
                <c:pt idx="622">
                  <c:v>-2.6800000000000002E-6</c:v>
                </c:pt>
                <c:pt idx="623">
                  <c:v>-2.6749999999999998E-6</c:v>
                </c:pt>
                <c:pt idx="624">
                  <c:v>-2.6699999999999998E-6</c:v>
                </c:pt>
                <c:pt idx="625">
                  <c:v>-2.6649999999999999E-6</c:v>
                </c:pt>
                <c:pt idx="626">
                  <c:v>-2.6599999999999999E-6</c:v>
                </c:pt>
                <c:pt idx="627">
                  <c:v>-2.655E-6</c:v>
                </c:pt>
                <c:pt idx="628">
                  <c:v>-2.65E-6</c:v>
                </c:pt>
                <c:pt idx="629">
                  <c:v>-2.6450000000000001E-6</c:v>
                </c:pt>
                <c:pt idx="630">
                  <c:v>-2.6400000000000001E-6</c:v>
                </c:pt>
                <c:pt idx="631">
                  <c:v>-2.6350000000000002E-6</c:v>
                </c:pt>
                <c:pt idx="632">
                  <c:v>-2.6299999999999998E-6</c:v>
                </c:pt>
                <c:pt idx="633">
                  <c:v>-2.6249999999999999E-6</c:v>
                </c:pt>
                <c:pt idx="634">
                  <c:v>-2.6199999999999999E-6</c:v>
                </c:pt>
                <c:pt idx="635">
                  <c:v>-2.615E-6</c:v>
                </c:pt>
                <c:pt idx="636">
                  <c:v>-2.61E-6</c:v>
                </c:pt>
                <c:pt idx="637">
                  <c:v>-2.605E-6</c:v>
                </c:pt>
                <c:pt idx="638">
                  <c:v>-2.6000000000000001E-6</c:v>
                </c:pt>
                <c:pt idx="639">
                  <c:v>-2.5950000000000001E-6</c:v>
                </c:pt>
                <c:pt idx="640">
                  <c:v>-2.5900000000000002E-6</c:v>
                </c:pt>
                <c:pt idx="641">
                  <c:v>-2.5849999999999998E-6</c:v>
                </c:pt>
                <c:pt idx="642">
                  <c:v>-2.5799999999999999E-6</c:v>
                </c:pt>
                <c:pt idx="643">
                  <c:v>-2.5749999999999999E-6</c:v>
                </c:pt>
                <c:pt idx="644">
                  <c:v>-2.57E-6</c:v>
                </c:pt>
                <c:pt idx="645">
                  <c:v>-2.565E-6</c:v>
                </c:pt>
                <c:pt idx="646">
                  <c:v>-2.5600000000000001E-6</c:v>
                </c:pt>
                <c:pt idx="647">
                  <c:v>-2.5550000000000001E-6</c:v>
                </c:pt>
                <c:pt idx="648">
                  <c:v>-2.5500000000000001E-6</c:v>
                </c:pt>
                <c:pt idx="649">
                  <c:v>-2.5450000000000002E-6</c:v>
                </c:pt>
                <c:pt idx="650">
                  <c:v>-2.5399999999999998E-6</c:v>
                </c:pt>
                <c:pt idx="651">
                  <c:v>-2.5349999999999999E-6</c:v>
                </c:pt>
                <c:pt idx="652">
                  <c:v>-2.5299999999999999E-6</c:v>
                </c:pt>
                <c:pt idx="653">
                  <c:v>-2.525E-6</c:v>
                </c:pt>
                <c:pt idx="654">
                  <c:v>-2.52E-6</c:v>
                </c:pt>
                <c:pt idx="655">
                  <c:v>-2.5150000000000001E-6</c:v>
                </c:pt>
                <c:pt idx="656">
                  <c:v>-2.5100000000000001E-6</c:v>
                </c:pt>
                <c:pt idx="657">
                  <c:v>-2.5050000000000002E-6</c:v>
                </c:pt>
                <c:pt idx="658">
                  <c:v>-2.5000000000000002E-6</c:v>
                </c:pt>
                <c:pt idx="659">
                  <c:v>-2.4949999999999998E-6</c:v>
                </c:pt>
                <c:pt idx="660">
                  <c:v>-2.4899999999999999E-6</c:v>
                </c:pt>
                <c:pt idx="661">
                  <c:v>-2.4849999999999999E-6</c:v>
                </c:pt>
                <c:pt idx="662">
                  <c:v>-2.48E-6</c:v>
                </c:pt>
                <c:pt idx="663">
                  <c:v>-2.475E-6</c:v>
                </c:pt>
                <c:pt idx="664">
                  <c:v>-2.4700000000000001E-6</c:v>
                </c:pt>
                <c:pt idx="665">
                  <c:v>-2.4650000000000001E-6</c:v>
                </c:pt>
                <c:pt idx="666">
                  <c:v>-2.4600000000000002E-6</c:v>
                </c:pt>
                <c:pt idx="667">
                  <c:v>-2.4550000000000002E-6</c:v>
                </c:pt>
                <c:pt idx="668">
                  <c:v>-2.4499999999999998E-6</c:v>
                </c:pt>
                <c:pt idx="669">
                  <c:v>-2.4449999999999999E-6</c:v>
                </c:pt>
                <c:pt idx="670">
                  <c:v>-2.4399999999999999E-6</c:v>
                </c:pt>
                <c:pt idx="671">
                  <c:v>-2.435E-6</c:v>
                </c:pt>
                <c:pt idx="672">
                  <c:v>-2.43E-6</c:v>
                </c:pt>
                <c:pt idx="673">
                  <c:v>-2.4250000000000001E-6</c:v>
                </c:pt>
                <c:pt idx="674">
                  <c:v>-2.4200000000000001E-6</c:v>
                </c:pt>
                <c:pt idx="675">
                  <c:v>-2.4150000000000002E-6</c:v>
                </c:pt>
                <c:pt idx="676">
                  <c:v>-2.4099999999999998E-6</c:v>
                </c:pt>
                <c:pt idx="677">
                  <c:v>-2.4049999999999998E-6</c:v>
                </c:pt>
                <c:pt idx="678">
                  <c:v>-2.3999999999999999E-6</c:v>
                </c:pt>
                <c:pt idx="679">
                  <c:v>-2.3949999999999999E-6</c:v>
                </c:pt>
                <c:pt idx="680">
                  <c:v>-2.39E-6</c:v>
                </c:pt>
                <c:pt idx="681">
                  <c:v>-2.385E-6</c:v>
                </c:pt>
                <c:pt idx="682">
                  <c:v>-2.3800000000000001E-6</c:v>
                </c:pt>
                <c:pt idx="683">
                  <c:v>-2.3750000000000001E-6</c:v>
                </c:pt>
                <c:pt idx="684">
                  <c:v>-2.3700000000000002E-6</c:v>
                </c:pt>
                <c:pt idx="685">
                  <c:v>-2.3649999999999998E-6</c:v>
                </c:pt>
                <c:pt idx="686">
                  <c:v>-2.3599999999999999E-6</c:v>
                </c:pt>
                <c:pt idx="687">
                  <c:v>-2.3549999999999999E-6</c:v>
                </c:pt>
                <c:pt idx="688">
                  <c:v>-2.3499999999999999E-6</c:v>
                </c:pt>
                <c:pt idx="689">
                  <c:v>-2.345E-6</c:v>
                </c:pt>
                <c:pt idx="690">
                  <c:v>-2.34E-6</c:v>
                </c:pt>
                <c:pt idx="691">
                  <c:v>-2.3350000000000001E-6</c:v>
                </c:pt>
                <c:pt idx="692">
                  <c:v>-2.3300000000000001E-6</c:v>
                </c:pt>
                <c:pt idx="693">
                  <c:v>-2.3250000000000002E-6</c:v>
                </c:pt>
                <c:pt idx="694">
                  <c:v>-2.3199999999999998E-6</c:v>
                </c:pt>
                <c:pt idx="695">
                  <c:v>-2.3149999999999999E-6</c:v>
                </c:pt>
                <c:pt idx="696">
                  <c:v>-2.3099999999999999E-6</c:v>
                </c:pt>
                <c:pt idx="697">
                  <c:v>-2.305E-6</c:v>
                </c:pt>
                <c:pt idx="698">
                  <c:v>-2.3E-6</c:v>
                </c:pt>
                <c:pt idx="699">
                  <c:v>-2.295E-6</c:v>
                </c:pt>
                <c:pt idx="700">
                  <c:v>-2.2900000000000001E-6</c:v>
                </c:pt>
                <c:pt idx="701">
                  <c:v>-2.2850000000000001E-6</c:v>
                </c:pt>
                <c:pt idx="702">
                  <c:v>-2.2800000000000002E-6</c:v>
                </c:pt>
                <c:pt idx="703">
                  <c:v>-2.2749999999999998E-6</c:v>
                </c:pt>
                <c:pt idx="704">
                  <c:v>-2.2699999999999999E-6</c:v>
                </c:pt>
                <c:pt idx="705">
                  <c:v>-2.2649999999999999E-6</c:v>
                </c:pt>
                <c:pt idx="706">
                  <c:v>-2.26E-6</c:v>
                </c:pt>
                <c:pt idx="707">
                  <c:v>-2.255E-6</c:v>
                </c:pt>
                <c:pt idx="708">
                  <c:v>-2.2500000000000001E-6</c:v>
                </c:pt>
                <c:pt idx="709">
                  <c:v>-2.2450000000000001E-6</c:v>
                </c:pt>
                <c:pt idx="710">
                  <c:v>-2.2400000000000002E-6</c:v>
                </c:pt>
                <c:pt idx="711">
                  <c:v>-2.2350000000000002E-6</c:v>
                </c:pt>
                <c:pt idx="712">
                  <c:v>-2.2299999999999998E-6</c:v>
                </c:pt>
                <c:pt idx="713">
                  <c:v>-2.2249999999999999E-6</c:v>
                </c:pt>
                <c:pt idx="714">
                  <c:v>-2.2199999999999999E-6</c:v>
                </c:pt>
                <c:pt idx="715">
                  <c:v>-2.215E-6</c:v>
                </c:pt>
                <c:pt idx="716">
                  <c:v>-2.21E-6</c:v>
                </c:pt>
                <c:pt idx="717">
                  <c:v>-2.2050000000000001E-6</c:v>
                </c:pt>
                <c:pt idx="718">
                  <c:v>-2.2000000000000001E-6</c:v>
                </c:pt>
                <c:pt idx="719">
                  <c:v>-2.1950000000000002E-6</c:v>
                </c:pt>
                <c:pt idx="720">
                  <c:v>-2.1900000000000002E-6</c:v>
                </c:pt>
                <c:pt idx="721">
                  <c:v>-2.1849999999999998E-6</c:v>
                </c:pt>
                <c:pt idx="722">
                  <c:v>-2.1799999999999999E-6</c:v>
                </c:pt>
                <c:pt idx="723">
                  <c:v>-2.1749999999999999E-6</c:v>
                </c:pt>
                <c:pt idx="724">
                  <c:v>-2.17E-6</c:v>
                </c:pt>
                <c:pt idx="725">
                  <c:v>-2.165E-6</c:v>
                </c:pt>
                <c:pt idx="726">
                  <c:v>-2.1600000000000001E-6</c:v>
                </c:pt>
                <c:pt idx="727">
                  <c:v>-2.1550000000000001E-6</c:v>
                </c:pt>
                <c:pt idx="728">
                  <c:v>-2.1500000000000002E-6</c:v>
                </c:pt>
                <c:pt idx="729">
                  <c:v>-2.1449999999999998E-6</c:v>
                </c:pt>
                <c:pt idx="730">
                  <c:v>-2.1399999999999998E-6</c:v>
                </c:pt>
                <c:pt idx="731">
                  <c:v>-2.1349999999999999E-6</c:v>
                </c:pt>
                <c:pt idx="732">
                  <c:v>-2.1299999999999999E-6</c:v>
                </c:pt>
                <c:pt idx="733">
                  <c:v>-2.125E-6</c:v>
                </c:pt>
                <c:pt idx="734">
                  <c:v>-2.12E-6</c:v>
                </c:pt>
                <c:pt idx="735">
                  <c:v>-2.1150000000000001E-6</c:v>
                </c:pt>
                <c:pt idx="736">
                  <c:v>-2.1100000000000001E-6</c:v>
                </c:pt>
                <c:pt idx="737">
                  <c:v>-2.1050000000000002E-6</c:v>
                </c:pt>
                <c:pt idx="738">
                  <c:v>-2.0999999999999998E-6</c:v>
                </c:pt>
                <c:pt idx="739">
                  <c:v>-2.0949999999999998E-6</c:v>
                </c:pt>
                <c:pt idx="740">
                  <c:v>-2.0899999999999999E-6</c:v>
                </c:pt>
                <c:pt idx="741">
                  <c:v>-2.0849999999999999E-6</c:v>
                </c:pt>
                <c:pt idx="742">
                  <c:v>-2.08E-6</c:v>
                </c:pt>
                <c:pt idx="743">
                  <c:v>-2.075E-6</c:v>
                </c:pt>
                <c:pt idx="744">
                  <c:v>-2.0700000000000001E-6</c:v>
                </c:pt>
                <c:pt idx="745">
                  <c:v>-2.0650000000000001E-6</c:v>
                </c:pt>
                <c:pt idx="746">
                  <c:v>-2.0600000000000002E-6</c:v>
                </c:pt>
                <c:pt idx="747">
                  <c:v>-2.0549999999999998E-6</c:v>
                </c:pt>
                <c:pt idx="748">
                  <c:v>-2.0499999999999999E-6</c:v>
                </c:pt>
                <c:pt idx="749">
                  <c:v>-2.0449999999999999E-6</c:v>
                </c:pt>
                <c:pt idx="750">
                  <c:v>-2.04E-6</c:v>
                </c:pt>
                <c:pt idx="751">
                  <c:v>-2.035E-6</c:v>
                </c:pt>
                <c:pt idx="752">
                  <c:v>-2.03E-6</c:v>
                </c:pt>
                <c:pt idx="753">
                  <c:v>-2.0250000000000001E-6</c:v>
                </c:pt>
                <c:pt idx="754">
                  <c:v>-2.0200000000000001E-6</c:v>
                </c:pt>
                <c:pt idx="755">
                  <c:v>-2.0150000000000002E-6</c:v>
                </c:pt>
                <c:pt idx="756">
                  <c:v>-2.0099999999999998E-6</c:v>
                </c:pt>
                <c:pt idx="757">
                  <c:v>-2.0049999999999999E-6</c:v>
                </c:pt>
                <c:pt idx="758">
                  <c:v>-1.9999999999999999E-6</c:v>
                </c:pt>
                <c:pt idx="759">
                  <c:v>-1.995E-6</c:v>
                </c:pt>
                <c:pt idx="760">
                  <c:v>-1.99E-6</c:v>
                </c:pt>
                <c:pt idx="761">
                  <c:v>-1.9850000000000001E-6</c:v>
                </c:pt>
                <c:pt idx="762">
                  <c:v>-1.9800000000000001E-6</c:v>
                </c:pt>
                <c:pt idx="763">
                  <c:v>-1.9750000000000001E-6</c:v>
                </c:pt>
                <c:pt idx="764">
                  <c:v>-1.9700000000000002E-6</c:v>
                </c:pt>
                <c:pt idx="765">
                  <c:v>-1.9649999999999998E-6</c:v>
                </c:pt>
                <c:pt idx="766">
                  <c:v>-1.9599999999999999E-6</c:v>
                </c:pt>
                <c:pt idx="767">
                  <c:v>-1.9549999999999999E-6</c:v>
                </c:pt>
                <c:pt idx="768">
                  <c:v>-1.95E-6</c:v>
                </c:pt>
                <c:pt idx="769">
                  <c:v>-1.945E-6</c:v>
                </c:pt>
                <c:pt idx="770">
                  <c:v>-1.9400000000000001E-6</c:v>
                </c:pt>
                <c:pt idx="771">
                  <c:v>-1.9350000000000001E-6</c:v>
                </c:pt>
                <c:pt idx="772">
                  <c:v>-1.9300000000000002E-6</c:v>
                </c:pt>
                <c:pt idx="773">
                  <c:v>-1.9250000000000002E-6</c:v>
                </c:pt>
                <c:pt idx="774">
                  <c:v>-1.9199999999999998E-6</c:v>
                </c:pt>
                <c:pt idx="775">
                  <c:v>-1.9149999999999999E-6</c:v>
                </c:pt>
                <c:pt idx="776">
                  <c:v>-1.9099999999999999E-6</c:v>
                </c:pt>
                <c:pt idx="777">
                  <c:v>-1.905E-6</c:v>
                </c:pt>
                <c:pt idx="778">
                  <c:v>-1.9E-6</c:v>
                </c:pt>
                <c:pt idx="779">
                  <c:v>-1.8950000000000001E-6</c:v>
                </c:pt>
                <c:pt idx="780">
                  <c:v>-1.8899999999999999E-6</c:v>
                </c:pt>
                <c:pt idx="781">
                  <c:v>-1.885E-6</c:v>
                </c:pt>
                <c:pt idx="782">
                  <c:v>-1.88E-6</c:v>
                </c:pt>
                <c:pt idx="783">
                  <c:v>-1.875E-6</c:v>
                </c:pt>
                <c:pt idx="784">
                  <c:v>-1.8700000000000001E-6</c:v>
                </c:pt>
                <c:pt idx="785">
                  <c:v>-1.8649999999999999E-6</c:v>
                </c:pt>
                <c:pt idx="786">
                  <c:v>-1.86E-6</c:v>
                </c:pt>
                <c:pt idx="787">
                  <c:v>-1.855E-6</c:v>
                </c:pt>
                <c:pt idx="788">
                  <c:v>-1.8500000000000001E-6</c:v>
                </c:pt>
                <c:pt idx="789">
                  <c:v>-1.8449999999999999E-6</c:v>
                </c:pt>
                <c:pt idx="790">
                  <c:v>-1.84E-6</c:v>
                </c:pt>
                <c:pt idx="791">
                  <c:v>-1.835E-6</c:v>
                </c:pt>
                <c:pt idx="792">
                  <c:v>-1.8300000000000001E-6</c:v>
                </c:pt>
                <c:pt idx="793">
                  <c:v>-1.8250000000000001E-6</c:v>
                </c:pt>
                <c:pt idx="794">
                  <c:v>-1.8199999999999999E-6</c:v>
                </c:pt>
                <c:pt idx="795">
                  <c:v>-1.815E-6</c:v>
                </c:pt>
                <c:pt idx="796">
                  <c:v>-1.81E-6</c:v>
                </c:pt>
                <c:pt idx="797">
                  <c:v>-1.8050000000000001E-6</c:v>
                </c:pt>
                <c:pt idx="798">
                  <c:v>-1.7999999999999999E-6</c:v>
                </c:pt>
                <c:pt idx="799">
                  <c:v>-1.795E-6</c:v>
                </c:pt>
                <c:pt idx="800">
                  <c:v>-1.79E-6</c:v>
                </c:pt>
                <c:pt idx="801">
                  <c:v>-1.7850000000000001E-6</c:v>
                </c:pt>
                <c:pt idx="802">
                  <c:v>-1.7799999999999999E-6</c:v>
                </c:pt>
                <c:pt idx="803">
                  <c:v>-1.7749999999999999E-6</c:v>
                </c:pt>
                <c:pt idx="804">
                  <c:v>-1.77E-6</c:v>
                </c:pt>
                <c:pt idx="805">
                  <c:v>-1.765E-6</c:v>
                </c:pt>
                <c:pt idx="806">
                  <c:v>-1.7600000000000001E-6</c:v>
                </c:pt>
                <c:pt idx="807">
                  <c:v>-1.7549999999999999E-6</c:v>
                </c:pt>
                <c:pt idx="808">
                  <c:v>-1.75E-6</c:v>
                </c:pt>
                <c:pt idx="809">
                  <c:v>-1.745E-6</c:v>
                </c:pt>
                <c:pt idx="810">
                  <c:v>-1.7400000000000001E-6</c:v>
                </c:pt>
                <c:pt idx="811">
                  <c:v>-1.7349999999999999E-6</c:v>
                </c:pt>
                <c:pt idx="812">
                  <c:v>-1.73E-6</c:v>
                </c:pt>
                <c:pt idx="813">
                  <c:v>-1.725E-6</c:v>
                </c:pt>
                <c:pt idx="814">
                  <c:v>-1.72E-6</c:v>
                </c:pt>
                <c:pt idx="815">
                  <c:v>-1.7150000000000001E-6</c:v>
                </c:pt>
                <c:pt idx="816">
                  <c:v>-1.7099999999999999E-6</c:v>
                </c:pt>
                <c:pt idx="817">
                  <c:v>-1.705E-6</c:v>
                </c:pt>
                <c:pt idx="818">
                  <c:v>-1.7E-6</c:v>
                </c:pt>
                <c:pt idx="819">
                  <c:v>-1.6950000000000001E-6</c:v>
                </c:pt>
                <c:pt idx="820">
                  <c:v>-1.6899999999999999E-6</c:v>
                </c:pt>
                <c:pt idx="821">
                  <c:v>-1.685E-6</c:v>
                </c:pt>
                <c:pt idx="822">
                  <c:v>-1.68E-6</c:v>
                </c:pt>
                <c:pt idx="823">
                  <c:v>-1.6750000000000001E-6</c:v>
                </c:pt>
                <c:pt idx="824">
                  <c:v>-1.6700000000000001E-6</c:v>
                </c:pt>
                <c:pt idx="825">
                  <c:v>-1.6649999999999999E-6</c:v>
                </c:pt>
                <c:pt idx="826">
                  <c:v>-1.66E-6</c:v>
                </c:pt>
                <c:pt idx="827">
                  <c:v>-1.655E-6</c:v>
                </c:pt>
                <c:pt idx="828">
                  <c:v>-1.6500000000000001E-6</c:v>
                </c:pt>
                <c:pt idx="829">
                  <c:v>-1.6449999999999999E-6</c:v>
                </c:pt>
                <c:pt idx="830">
                  <c:v>-1.64E-6</c:v>
                </c:pt>
                <c:pt idx="831">
                  <c:v>-1.635E-6</c:v>
                </c:pt>
                <c:pt idx="832">
                  <c:v>-1.6300000000000001E-6</c:v>
                </c:pt>
                <c:pt idx="833">
                  <c:v>-1.6249999999999999E-6</c:v>
                </c:pt>
                <c:pt idx="834">
                  <c:v>-1.6199999999999999E-6</c:v>
                </c:pt>
                <c:pt idx="835">
                  <c:v>-1.615E-6</c:v>
                </c:pt>
                <c:pt idx="836">
                  <c:v>-1.61E-6</c:v>
                </c:pt>
                <c:pt idx="837">
                  <c:v>-1.6050000000000001E-6</c:v>
                </c:pt>
                <c:pt idx="838">
                  <c:v>-1.5999999999999999E-6</c:v>
                </c:pt>
                <c:pt idx="839">
                  <c:v>-1.595E-6</c:v>
                </c:pt>
                <c:pt idx="840">
                  <c:v>-1.59E-6</c:v>
                </c:pt>
                <c:pt idx="841">
                  <c:v>-1.5850000000000001E-6</c:v>
                </c:pt>
                <c:pt idx="842">
                  <c:v>-1.5799999999999999E-6</c:v>
                </c:pt>
                <c:pt idx="843">
                  <c:v>-1.575E-6</c:v>
                </c:pt>
                <c:pt idx="844">
                  <c:v>-1.57E-6</c:v>
                </c:pt>
                <c:pt idx="845">
                  <c:v>-1.5650000000000001E-6</c:v>
                </c:pt>
                <c:pt idx="846">
                  <c:v>-1.5600000000000001E-6</c:v>
                </c:pt>
                <c:pt idx="847">
                  <c:v>-1.5549999999999999E-6</c:v>
                </c:pt>
                <c:pt idx="848">
                  <c:v>-1.55E-6</c:v>
                </c:pt>
                <c:pt idx="849">
                  <c:v>-1.545E-6</c:v>
                </c:pt>
                <c:pt idx="850">
                  <c:v>-1.5400000000000001E-6</c:v>
                </c:pt>
                <c:pt idx="851">
                  <c:v>-1.5349999999999999E-6</c:v>
                </c:pt>
                <c:pt idx="852">
                  <c:v>-1.53E-6</c:v>
                </c:pt>
                <c:pt idx="853">
                  <c:v>-1.525E-6</c:v>
                </c:pt>
                <c:pt idx="854">
                  <c:v>-1.5200000000000001E-6</c:v>
                </c:pt>
                <c:pt idx="855">
                  <c:v>-1.5149999999999999E-6</c:v>
                </c:pt>
                <c:pt idx="856">
                  <c:v>-1.5099999999999999E-6</c:v>
                </c:pt>
                <c:pt idx="857">
                  <c:v>-1.505E-6</c:v>
                </c:pt>
                <c:pt idx="858">
                  <c:v>-1.5E-6</c:v>
                </c:pt>
                <c:pt idx="859">
                  <c:v>-1.4950000000000001E-6</c:v>
                </c:pt>
                <c:pt idx="860">
                  <c:v>-1.4899999999999999E-6</c:v>
                </c:pt>
                <c:pt idx="861">
                  <c:v>-1.485E-6</c:v>
                </c:pt>
                <c:pt idx="862">
                  <c:v>-1.48E-6</c:v>
                </c:pt>
                <c:pt idx="863">
                  <c:v>-1.4750000000000001E-6</c:v>
                </c:pt>
                <c:pt idx="864">
                  <c:v>-1.4699999999999999E-6</c:v>
                </c:pt>
                <c:pt idx="865">
                  <c:v>-1.4649999999999999E-6</c:v>
                </c:pt>
                <c:pt idx="866">
                  <c:v>-1.46E-6</c:v>
                </c:pt>
                <c:pt idx="867">
                  <c:v>-1.455E-6</c:v>
                </c:pt>
                <c:pt idx="868">
                  <c:v>-1.4500000000000001E-6</c:v>
                </c:pt>
                <c:pt idx="869">
                  <c:v>-1.4449999999999999E-6</c:v>
                </c:pt>
                <c:pt idx="870">
                  <c:v>-1.44E-6</c:v>
                </c:pt>
                <c:pt idx="871">
                  <c:v>-1.435E-6</c:v>
                </c:pt>
                <c:pt idx="872">
                  <c:v>-1.4300000000000001E-6</c:v>
                </c:pt>
                <c:pt idx="873">
                  <c:v>-1.4249999999999999E-6</c:v>
                </c:pt>
                <c:pt idx="874">
                  <c:v>-1.42E-6</c:v>
                </c:pt>
                <c:pt idx="875">
                  <c:v>-1.415E-6</c:v>
                </c:pt>
                <c:pt idx="876">
                  <c:v>-1.4100000000000001E-6</c:v>
                </c:pt>
                <c:pt idx="877">
                  <c:v>-1.4050000000000001E-6</c:v>
                </c:pt>
                <c:pt idx="878">
                  <c:v>-1.3999999999999999E-6</c:v>
                </c:pt>
                <c:pt idx="879">
                  <c:v>-1.395E-6</c:v>
                </c:pt>
                <c:pt idx="880">
                  <c:v>-1.39E-6</c:v>
                </c:pt>
                <c:pt idx="881">
                  <c:v>-1.3850000000000001E-6</c:v>
                </c:pt>
                <c:pt idx="882">
                  <c:v>-1.3799999999999999E-6</c:v>
                </c:pt>
                <c:pt idx="883">
                  <c:v>-1.375E-6</c:v>
                </c:pt>
                <c:pt idx="884">
                  <c:v>-1.37E-6</c:v>
                </c:pt>
                <c:pt idx="885">
                  <c:v>-1.3650000000000001E-6</c:v>
                </c:pt>
                <c:pt idx="886">
                  <c:v>-1.3599999999999999E-6</c:v>
                </c:pt>
                <c:pt idx="887">
                  <c:v>-1.3549999999999999E-6</c:v>
                </c:pt>
                <c:pt idx="888">
                  <c:v>-1.35E-6</c:v>
                </c:pt>
                <c:pt idx="889">
                  <c:v>-1.345E-6</c:v>
                </c:pt>
                <c:pt idx="890">
                  <c:v>-1.3400000000000001E-6</c:v>
                </c:pt>
                <c:pt idx="891">
                  <c:v>-1.3349999999999999E-6</c:v>
                </c:pt>
                <c:pt idx="892">
                  <c:v>-1.33E-6</c:v>
                </c:pt>
                <c:pt idx="893">
                  <c:v>-1.325E-6</c:v>
                </c:pt>
                <c:pt idx="894">
                  <c:v>-1.3200000000000001E-6</c:v>
                </c:pt>
                <c:pt idx="895">
                  <c:v>-1.3149999999999999E-6</c:v>
                </c:pt>
                <c:pt idx="896">
                  <c:v>-1.31E-6</c:v>
                </c:pt>
                <c:pt idx="897">
                  <c:v>-1.305E-6</c:v>
                </c:pt>
                <c:pt idx="898">
                  <c:v>-1.3E-6</c:v>
                </c:pt>
                <c:pt idx="899">
                  <c:v>-1.2950000000000001E-6</c:v>
                </c:pt>
                <c:pt idx="900">
                  <c:v>-1.2899999999999999E-6</c:v>
                </c:pt>
                <c:pt idx="901">
                  <c:v>-1.285E-6</c:v>
                </c:pt>
                <c:pt idx="902">
                  <c:v>-1.28E-6</c:v>
                </c:pt>
                <c:pt idx="903">
                  <c:v>-1.2750000000000001E-6</c:v>
                </c:pt>
                <c:pt idx="904">
                  <c:v>-1.2699999999999999E-6</c:v>
                </c:pt>
                <c:pt idx="905">
                  <c:v>-1.265E-6</c:v>
                </c:pt>
                <c:pt idx="906">
                  <c:v>-1.26E-6</c:v>
                </c:pt>
                <c:pt idx="907">
                  <c:v>-1.2550000000000001E-6</c:v>
                </c:pt>
                <c:pt idx="908">
                  <c:v>-1.2500000000000001E-6</c:v>
                </c:pt>
                <c:pt idx="909">
                  <c:v>-1.2449999999999999E-6</c:v>
                </c:pt>
                <c:pt idx="910">
                  <c:v>-1.24E-6</c:v>
                </c:pt>
                <c:pt idx="911">
                  <c:v>-1.235E-6</c:v>
                </c:pt>
                <c:pt idx="912">
                  <c:v>-1.2300000000000001E-6</c:v>
                </c:pt>
                <c:pt idx="913">
                  <c:v>-1.2249999999999999E-6</c:v>
                </c:pt>
                <c:pt idx="914">
                  <c:v>-1.22E-6</c:v>
                </c:pt>
                <c:pt idx="915">
                  <c:v>-1.215E-6</c:v>
                </c:pt>
                <c:pt idx="916">
                  <c:v>-1.2100000000000001E-6</c:v>
                </c:pt>
                <c:pt idx="917">
                  <c:v>-1.2049999999999999E-6</c:v>
                </c:pt>
                <c:pt idx="918">
                  <c:v>-1.1999999999999999E-6</c:v>
                </c:pt>
                <c:pt idx="919">
                  <c:v>-1.195E-6</c:v>
                </c:pt>
                <c:pt idx="920">
                  <c:v>-1.19E-6</c:v>
                </c:pt>
                <c:pt idx="921">
                  <c:v>-1.1850000000000001E-6</c:v>
                </c:pt>
                <c:pt idx="922">
                  <c:v>-1.1799999999999999E-6</c:v>
                </c:pt>
                <c:pt idx="923">
                  <c:v>-1.175E-6</c:v>
                </c:pt>
                <c:pt idx="924">
                  <c:v>-1.17E-6</c:v>
                </c:pt>
                <c:pt idx="925">
                  <c:v>-1.1650000000000001E-6</c:v>
                </c:pt>
                <c:pt idx="926">
                  <c:v>-1.1599999999999999E-6</c:v>
                </c:pt>
                <c:pt idx="927">
                  <c:v>-1.155E-6</c:v>
                </c:pt>
                <c:pt idx="928">
                  <c:v>-1.15E-6</c:v>
                </c:pt>
                <c:pt idx="929">
                  <c:v>-1.145E-6</c:v>
                </c:pt>
                <c:pt idx="930">
                  <c:v>-1.1400000000000001E-6</c:v>
                </c:pt>
                <c:pt idx="931">
                  <c:v>-1.1349999999999999E-6</c:v>
                </c:pt>
                <c:pt idx="932">
                  <c:v>-1.13E-6</c:v>
                </c:pt>
                <c:pt idx="933">
                  <c:v>-1.125E-6</c:v>
                </c:pt>
                <c:pt idx="934">
                  <c:v>-1.1200000000000001E-6</c:v>
                </c:pt>
                <c:pt idx="935">
                  <c:v>-1.1149999999999999E-6</c:v>
                </c:pt>
                <c:pt idx="936">
                  <c:v>-1.11E-6</c:v>
                </c:pt>
                <c:pt idx="937">
                  <c:v>-1.105E-6</c:v>
                </c:pt>
                <c:pt idx="938">
                  <c:v>-1.1000000000000001E-6</c:v>
                </c:pt>
                <c:pt idx="939">
                  <c:v>-1.0950000000000001E-6</c:v>
                </c:pt>
                <c:pt idx="940">
                  <c:v>-1.0899999999999999E-6</c:v>
                </c:pt>
                <c:pt idx="941">
                  <c:v>-1.085E-6</c:v>
                </c:pt>
                <c:pt idx="942">
                  <c:v>-1.08E-6</c:v>
                </c:pt>
                <c:pt idx="943">
                  <c:v>-1.0750000000000001E-6</c:v>
                </c:pt>
                <c:pt idx="944">
                  <c:v>-1.0699999999999999E-6</c:v>
                </c:pt>
                <c:pt idx="945">
                  <c:v>-1.065E-6</c:v>
                </c:pt>
                <c:pt idx="946">
                  <c:v>-1.06E-6</c:v>
                </c:pt>
                <c:pt idx="947">
                  <c:v>-1.0550000000000001E-6</c:v>
                </c:pt>
                <c:pt idx="948">
                  <c:v>-1.0499999999999999E-6</c:v>
                </c:pt>
                <c:pt idx="949">
                  <c:v>-1.0449999999999999E-6</c:v>
                </c:pt>
                <c:pt idx="950">
                  <c:v>-1.04E-6</c:v>
                </c:pt>
                <c:pt idx="951">
                  <c:v>-1.035E-6</c:v>
                </c:pt>
                <c:pt idx="952">
                  <c:v>-1.0300000000000001E-6</c:v>
                </c:pt>
                <c:pt idx="953">
                  <c:v>-1.0249999999999999E-6</c:v>
                </c:pt>
                <c:pt idx="954">
                  <c:v>-1.02E-6</c:v>
                </c:pt>
                <c:pt idx="955">
                  <c:v>-1.015E-6</c:v>
                </c:pt>
                <c:pt idx="956">
                  <c:v>-1.0100000000000001E-6</c:v>
                </c:pt>
                <c:pt idx="957">
                  <c:v>-1.0049999999999999E-6</c:v>
                </c:pt>
                <c:pt idx="958">
                  <c:v>-9.9999999999999995E-7</c:v>
                </c:pt>
                <c:pt idx="959">
                  <c:v>-9.95E-7</c:v>
                </c:pt>
                <c:pt idx="960">
                  <c:v>-9.9000000000000005E-7</c:v>
                </c:pt>
                <c:pt idx="961">
                  <c:v>-9.850000000000001E-7</c:v>
                </c:pt>
                <c:pt idx="962">
                  <c:v>-9.7999999999999993E-7</c:v>
                </c:pt>
                <c:pt idx="963">
                  <c:v>-9.7499999999999998E-7</c:v>
                </c:pt>
                <c:pt idx="964">
                  <c:v>-9.7000000000000003E-7</c:v>
                </c:pt>
                <c:pt idx="965">
                  <c:v>-9.6500000000000008E-7</c:v>
                </c:pt>
                <c:pt idx="966">
                  <c:v>-9.5999999999999991E-7</c:v>
                </c:pt>
                <c:pt idx="967">
                  <c:v>-9.5499999999999996E-7</c:v>
                </c:pt>
                <c:pt idx="968">
                  <c:v>-9.5000000000000001E-7</c:v>
                </c:pt>
                <c:pt idx="969">
                  <c:v>-9.4499999999999995E-7</c:v>
                </c:pt>
                <c:pt idx="970">
                  <c:v>-9.4E-7</c:v>
                </c:pt>
                <c:pt idx="971">
                  <c:v>-9.3500000000000005E-7</c:v>
                </c:pt>
                <c:pt idx="972">
                  <c:v>-9.2999999999999999E-7</c:v>
                </c:pt>
                <c:pt idx="973">
                  <c:v>-9.2500000000000004E-7</c:v>
                </c:pt>
                <c:pt idx="974">
                  <c:v>-9.1999999999999998E-7</c:v>
                </c:pt>
                <c:pt idx="975">
                  <c:v>-9.1500000000000003E-7</c:v>
                </c:pt>
                <c:pt idx="976">
                  <c:v>-9.0999999999999997E-7</c:v>
                </c:pt>
                <c:pt idx="977">
                  <c:v>-9.0500000000000002E-7</c:v>
                </c:pt>
                <c:pt idx="978">
                  <c:v>-8.9999999999999996E-7</c:v>
                </c:pt>
                <c:pt idx="979">
                  <c:v>-8.9500000000000001E-7</c:v>
                </c:pt>
                <c:pt idx="980">
                  <c:v>-8.8999999999999995E-7</c:v>
                </c:pt>
                <c:pt idx="981">
                  <c:v>-8.85E-7</c:v>
                </c:pt>
                <c:pt idx="982">
                  <c:v>-8.8000000000000004E-7</c:v>
                </c:pt>
                <c:pt idx="983">
                  <c:v>-8.7499999999999999E-7</c:v>
                </c:pt>
                <c:pt idx="984">
                  <c:v>-8.7000000000000003E-7</c:v>
                </c:pt>
                <c:pt idx="985">
                  <c:v>-8.6499999999999998E-7</c:v>
                </c:pt>
                <c:pt idx="986">
                  <c:v>-8.6000000000000002E-7</c:v>
                </c:pt>
                <c:pt idx="987">
                  <c:v>-8.5499999999999997E-7</c:v>
                </c:pt>
                <c:pt idx="988">
                  <c:v>-8.5000000000000001E-7</c:v>
                </c:pt>
                <c:pt idx="989">
                  <c:v>-8.4499999999999996E-7</c:v>
                </c:pt>
                <c:pt idx="990">
                  <c:v>-8.4E-7</c:v>
                </c:pt>
                <c:pt idx="991">
                  <c:v>-8.3500000000000005E-7</c:v>
                </c:pt>
                <c:pt idx="992">
                  <c:v>-8.2999999999999999E-7</c:v>
                </c:pt>
                <c:pt idx="993">
                  <c:v>-8.2500000000000004E-7</c:v>
                </c:pt>
                <c:pt idx="994">
                  <c:v>-8.1999999999999998E-7</c:v>
                </c:pt>
                <c:pt idx="995">
                  <c:v>-8.1500000000000003E-7</c:v>
                </c:pt>
                <c:pt idx="996">
                  <c:v>-8.0999999999999997E-7</c:v>
                </c:pt>
                <c:pt idx="997">
                  <c:v>-8.0500000000000002E-7</c:v>
                </c:pt>
                <c:pt idx="998">
                  <c:v>-7.9999999999999996E-7</c:v>
                </c:pt>
                <c:pt idx="999">
                  <c:v>-7.9500000000000001E-7</c:v>
                </c:pt>
                <c:pt idx="1000">
                  <c:v>-7.8999999999999995E-7</c:v>
                </c:pt>
                <c:pt idx="1001">
                  <c:v>-7.85E-7</c:v>
                </c:pt>
                <c:pt idx="1002">
                  <c:v>-7.8000000000000005E-7</c:v>
                </c:pt>
                <c:pt idx="1003">
                  <c:v>-7.7499999999999999E-7</c:v>
                </c:pt>
                <c:pt idx="1004">
                  <c:v>-7.7000000000000004E-7</c:v>
                </c:pt>
                <c:pt idx="1005">
                  <c:v>-7.6499999999999998E-7</c:v>
                </c:pt>
                <c:pt idx="1006">
                  <c:v>-7.6000000000000003E-7</c:v>
                </c:pt>
                <c:pt idx="1007">
                  <c:v>-7.5499999999999997E-7</c:v>
                </c:pt>
                <c:pt idx="1008">
                  <c:v>-7.5000000000000002E-7</c:v>
                </c:pt>
                <c:pt idx="1009">
                  <c:v>-7.4499999999999996E-7</c:v>
                </c:pt>
                <c:pt idx="1010">
                  <c:v>-7.4000000000000001E-7</c:v>
                </c:pt>
                <c:pt idx="1011">
                  <c:v>-7.3499999999999995E-7</c:v>
                </c:pt>
                <c:pt idx="1012">
                  <c:v>-7.3E-7</c:v>
                </c:pt>
                <c:pt idx="1013">
                  <c:v>-7.2500000000000005E-7</c:v>
                </c:pt>
                <c:pt idx="1014">
                  <c:v>-7.1999999999999999E-7</c:v>
                </c:pt>
                <c:pt idx="1015">
                  <c:v>-7.1500000000000004E-7</c:v>
                </c:pt>
                <c:pt idx="1016">
                  <c:v>-7.0999999999999998E-7</c:v>
                </c:pt>
                <c:pt idx="1017">
                  <c:v>-7.0500000000000003E-7</c:v>
                </c:pt>
                <c:pt idx="1018">
                  <c:v>-6.9999999999999997E-7</c:v>
                </c:pt>
                <c:pt idx="1019">
                  <c:v>-6.9500000000000002E-7</c:v>
                </c:pt>
                <c:pt idx="1020">
                  <c:v>-6.8999999999999996E-7</c:v>
                </c:pt>
                <c:pt idx="1021">
                  <c:v>-6.8500000000000001E-7</c:v>
                </c:pt>
                <c:pt idx="1022">
                  <c:v>-6.7999999999999995E-7</c:v>
                </c:pt>
                <c:pt idx="1023">
                  <c:v>-6.75E-7</c:v>
                </c:pt>
                <c:pt idx="1024">
                  <c:v>-6.7000000000000004E-7</c:v>
                </c:pt>
                <c:pt idx="1025">
                  <c:v>-6.6499999999999999E-7</c:v>
                </c:pt>
                <c:pt idx="1026">
                  <c:v>-6.6000000000000003E-7</c:v>
                </c:pt>
                <c:pt idx="1027">
                  <c:v>-6.5499999999999998E-7</c:v>
                </c:pt>
                <c:pt idx="1028">
                  <c:v>-6.5000000000000002E-7</c:v>
                </c:pt>
                <c:pt idx="1029">
                  <c:v>-6.4499999999999997E-7</c:v>
                </c:pt>
                <c:pt idx="1030">
                  <c:v>-6.4000000000000001E-7</c:v>
                </c:pt>
                <c:pt idx="1031">
                  <c:v>-6.3499999999999996E-7</c:v>
                </c:pt>
                <c:pt idx="1032">
                  <c:v>-6.3E-7</c:v>
                </c:pt>
                <c:pt idx="1033">
                  <c:v>-6.2500000000000005E-7</c:v>
                </c:pt>
                <c:pt idx="1034">
                  <c:v>-6.1999999999999999E-7</c:v>
                </c:pt>
                <c:pt idx="1035">
                  <c:v>-6.1500000000000004E-7</c:v>
                </c:pt>
                <c:pt idx="1036">
                  <c:v>-6.0999999999999998E-7</c:v>
                </c:pt>
                <c:pt idx="1037">
                  <c:v>-6.0500000000000003E-7</c:v>
                </c:pt>
                <c:pt idx="1038">
                  <c:v>-5.9999999999999997E-7</c:v>
                </c:pt>
                <c:pt idx="1039">
                  <c:v>-5.9500000000000002E-7</c:v>
                </c:pt>
                <c:pt idx="1040">
                  <c:v>-5.8999999999999996E-7</c:v>
                </c:pt>
                <c:pt idx="1041">
                  <c:v>-5.8500000000000001E-7</c:v>
                </c:pt>
                <c:pt idx="1042">
                  <c:v>-5.7999999999999995E-7</c:v>
                </c:pt>
                <c:pt idx="1043">
                  <c:v>-5.75E-7</c:v>
                </c:pt>
                <c:pt idx="1044">
                  <c:v>-5.7000000000000005E-7</c:v>
                </c:pt>
                <c:pt idx="1045">
                  <c:v>-5.6499999999999999E-7</c:v>
                </c:pt>
                <c:pt idx="1046">
                  <c:v>-5.6000000000000004E-7</c:v>
                </c:pt>
                <c:pt idx="1047">
                  <c:v>-5.5499999999999998E-7</c:v>
                </c:pt>
                <c:pt idx="1048">
                  <c:v>-5.5000000000000003E-7</c:v>
                </c:pt>
                <c:pt idx="1049">
                  <c:v>-5.4499999999999997E-7</c:v>
                </c:pt>
                <c:pt idx="1050">
                  <c:v>-5.4000000000000002E-7</c:v>
                </c:pt>
                <c:pt idx="1051">
                  <c:v>-5.3499999999999996E-7</c:v>
                </c:pt>
                <c:pt idx="1052">
                  <c:v>-5.3000000000000001E-7</c:v>
                </c:pt>
                <c:pt idx="1053">
                  <c:v>-5.2499999999999995E-7</c:v>
                </c:pt>
                <c:pt idx="1054">
                  <c:v>-5.2E-7</c:v>
                </c:pt>
                <c:pt idx="1055">
                  <c:v>-5.1500000000000005E-7</c:v>
                </c:pt>
                <c:pt idx="1056">
                  <c:v>-5.0999999999999999E-7</c:v>
                </c:pt>
                <c:pt idx="1057">
                  <c:v>-5.0500000000000004E-7</c:v>
                </c:pt>
                <c:pt idx="1058">
                  <c:v>-4.9999999999999998E-7</c:v>
                </c:pt>
                <c:pt idx="1059">
                  <c:v>-4.9500000000000003E-7</c:v>
                </c:pt>
                <c:pt idx="1060">
                  <c:v>-4.8999999999999997E-7</c:v>
                </c:pt>
                <c:pt idx="1061">
                  <c:v>-4.8500000000000002E-7</c:v>
                </c:pt>
                <c:pt idx="1062">
                  <c:v>-4.7999999999999996E-7</c:v>
                </c:pt>
                <c:pt idx="1063">
                  <c:v>-4.75E-7</c:v>
                </c:pt>
                <c:pt idx="1064">
                  <c:v>-4.7E-7</c:v>
                </c:pt>
                <c:pt idx="1065">
                  <c:v>-4.6499999999999999E-7</c:v>
                </c:pt>
                <c:pt idx="1066">
                  <c:v>-4.5999999999999999E-7</c:v>
                </c:pt>
                <c:pt idx="1067">
                  <c:v>-4.5499999999999998E-7</c:v>
                </c:pt>
                <c:pt idx="1068">
                  <c:v>-4.4999999999999998E-7</c:v>
                </c:pt>
                <c:pt idx="1069">
                  <c:v>-4.4499999999999997E-7</c:v>
                </c:pt>
                <c:pt idx="1070">
                  <c:v>-4.4000000000000002E-7</c:v>
                </c:pt>
                <c:pt idx="1071">
                  <c:v>-4.3500000000000002E-7</c:v>
                </c:pt>
                <c:pt idx="1072">
                  <c:v>-4.3000000000000001E-7</c:v>
                </c:pt>
                <c:pt idx="1073">
                  <c:v>-4.2500000000000001E-7</c:v>
                </c:pt>
                <c:pt idx="1074">
                  <c:v>-4.2E-7</c:v>
                </c:pt>
                <c:pt idx="1075">
                  <c:v>-4.15E-7</c:v>
                </c:pt>
                <c:pt idx="1076">
                  <c:v>-4.0999999999999999E-7</c:v>
                </c:pt>
                <c:pt idx="1077">
                  <c:v>-4.0499999999999999E-7</c:v>
                </c:pt>
                <c:pt idx="1078">
                  <c:v>-3.9999999999999998E-7</c:v>
                </c:pt>
                <c:pt idx="1079">
                  <c:v>-3.9499999999999998E-7</c:v>
                </c:pt>
                <c:pt idx="1080">
                  <c:v>-3.9000000000000002E-7</c:v>
                </c:pt>
                <c:pt idx="1081">
                  <c:v>-3.8500000000000002E-7</c:v>
                </c:pt>
                <c:pt idx="1082">
                  <c:v>-3.8000000000000001E-7</c:v>
                </c:pt>
                <c:pt idx="1083">
                  <c:v>-3.7500000000000001E-7</c:v>
                </c:pt>
                <c:pt idx="1084">
                  <c:v>-3.7E-7</c:v>
                </c:pt>
                <c:pt idx="1085">
                  <c:v>-3.65E-7</c:v>
                </c:pt>
                <c:pt idx="1086">
                  <c:v>-3.5999999999999999E-7</c:v>
                </c:pt>
                <c:pt idx="1087">
                  <c:v>-3.5499999999999999E-7</c:v>
                </c:pt>
                <c:pt idx="1088">
                  <c:v>-3.4999999999999998E-7</c:v>
                </c:pt>
                <c:pt idx="1089">
                  <c:v>-3.4499999999999998E-7</c:v>
                </c:pt>
                <c:pt idx="1090">
                  <c:v>-3.3999999999999997E-7</c:v>
                </c:pt>
                <c:pt idx="1091">
                  <c:v>-3.3500000000000002E-7</c:v>
                </c:pt>
                <c:pt idx="1092">
                  <c:v>-3.3000000000000002E-7</c:v>
                </c:pt>
                <c:pt idx="1093">
                  <c:v>-3.2500000000000001E-7</c:v>
                </c:pt>
                <c:pt idx="1094">
                  <c:v>-3.2000000000000001E-7</c:v>
                </c:pt>
                <c:pt idx="1095">
                  <c:v>-3.15E-7</c:v>
                </c:pt>
                <c:pt idx="1096">
                  <c:v>-3.1E-7</c:v>
                </c:pt>
                <c:pt idx="1097">
                  <c:v>-3.0499999999999999E-7</c:v>
                </c:pt>
                <c:pt idx="1098">
                  <c:v>-2.9999999999999999E-7</c:v>
                </c:pt>
                <c:pt idx="1099">
                  <c:v>-2.9499999999999998E-7</c:v>
                </c:pt>
                <c:pt idx="1100">
                  <c:v>-2.8999999999999998E-7</c:v>
                </c:pt>
                <c:pt idx="1101">
                  <c:v>-2.8500000000000002E-7</c:v>
                </c:pt>
                <c:pt idx="1102">
                  <c:v>-2.8000000000000002E-7</c:v>
                </c:pt>
                <c:pt idx="1103">
                  <c:v>-2.7500000000000001E-7</c:v>
                </c:pt>
                <c:pt idx="1104">
                  <c:v>-2.7000000000000001E-7</c:v>
                </c:pt>
                <c:pt idx="1105">
                  <c:v>-2.65E-7</c:v>
                </c:pt>
                <c:pt idx="1106">
                  <c:v>-2.6E-7</c:v>
                </c:pt>
                <c:pt idx="1107">
                  <c:v>-2.5499999999999999E-7</c:v>
                </c:pt>
                <c:pt idx="1108">
                  <c:v>-2.4999999999999999E-7</c:v>
                </c:pt>
                <c:pt idx="1109">
                  <c:v>-2.4499999999999998E-7</c:v>
                </c:pt>
                <c:pt idx="1110">
                  <c:v>-2.3999999999999998E-7</c:v>
                </c:pt>
                <c:pt idx="1111">
                  <c:v>-2.35E-7</c:v>
                </c:pt>
                <c:pt idx="1112">
                  <c:v>-2.2999999999999999E-7</c:v>
                </c:pt>
                <c:pt idx="1113">
                  <c:v>-2.2499999999999999E-7</c:v>
                </c:pt>
                <c:pt idx="1114">
                  <c:v>-2.2000000000000001E-7</c:v>
                </c:pt>
                <c:pt idx="1115">
                  <c:v>-2.1500000000000001E-7</c:v>
                </c:pt>
                <c:pt idx="1116">
                  <c:v>-2.1E-7</c:v>
                </c:pt>
                <c:pt idx="1117">
                  <c:v>-2.05E-7</c:v>
                </c:pt>
                <c:pt idx="1118">
                  <c:v>-1.9999999999999999E-7</c:v>
                </c:pt>
                <c:pt idx="1119">
                  <c:v>-1.9500000000000001E-7</c:v>
                </c:pt>
                <c:pt idx="1120">
                  <c:v>-1.9000000000000001E-7</c:v>
                </c:pt>
                <c:pt idx="1121">
                  <c:v>-1.85E-7</c:v>
                </c:pt>
                <c:pt idx="1122">
                  <c:v>-1.8E-7</c:v>
                </c:pt>
                <c:pt idx="1123">
                  <c:v>-1.7499999999999999E-7</c:v>
                </c:pt>
                <c:pt idx="1124">
                  <c:v>-1.6999999999999999E-7</c:v>
                </c:pt>
                <c:pt idx="1125">
                  <c:v>-1.6500000000000001E-7</c:v>
                </c:pt>
                <c:pt idx="1126">
                  <c:v>-1.6E-7</c:v>
                </c:pt>
                <c:pt idx="1127">
                  <c:v>-1.55E-7</c:v>
                </c:pt>
                <c:pt idx="1128">
                  <c:v>-1.4999999999999999E-7</c:v>
                </c:pt>
                <c:pt idx="1129">
                  <c:v>-1.4499999999999999E-7</c:v>
                </c:pt>
                <c:pt idx="1130">
                  <c:v>-1.4000000000000001E-7</c:v>
                </c:pt>
                <c:pt idx="1131">
                  <c:v>-1.35E-7</c:v>
                </c:pt>
                <c:pt idx="1132">
                  <c:v>-1.3E-7</c:v>
                </c:pt>
                <c:pt idx="1133">
                  <c:v>-1.2499999999999999E-7</c:v>
                </c:pt>
                <c:pt idx="1134">
                  <c:v>-1.1999999999999999E-7</c:v>
                </c:pt>
                <c:pt idx="1135">
                  <c:v>-1.15E-7</c:v>
                </c:pt>
                <c:pt idx="1136">
                  <c:v>-1.1000000000000001E-7</c:v>
                </c:pt>
                <c:pt idx="1137">
                  <c:v>-1.05E-7</c:v>
                </c:pt>
                <c:pt idx="1138">
                  <c:v>-9.9999999999999995E-8</c:v>
                </c:pt>
                <c:pt idx="1139">
                  <c:v>-9.5000000000000004E-8</c:v>
                </c:pt>
                <c:pt idx="1140">
                  <c:v>-8.9999999999999999E-8</c:v>
                </c:pt>
                <c:pt idx="1141">
                  <c:v>-8.4999999999999994E-8</c:v>
                </c:pt>
                <c:pt idx="1142">
                  <c:v>-8.0000000000000002E-8</c:v>
                </c:pt>
                <c:pt idx="1143">
                  <c:v>-7.4999999999999997E-8</c:v>
                </c:pt>
                <c:pt idx="1144">
                  <c:v>-7.0000000000000005E-8</c:v>
                </c:pt>
                <c:pt idx="1145">
                  <c:v>-6.5E-8</c:v>
                </c:pt>
                <c:pt idx="1146">
                  <c:v>-5.9999999999999995E-8</c:v>
                </c:pt>
                <c:pt idx="1147">
                  <c:v>-5.5000000000000003E-8</c:v>
                </c:pt>
                <c:pt idx="1148">
                  <c:v>-4.9999999999999998E-8</c:v>
                </c:pt>
                <c:pt idx="1149">
                  <c:v>-4.4999999999999999E-8</c:v>
                </c:pt>
                <c:pt idx="1150">
                  <c:v>-4.0000000000000001E-8</c:v>
                </c:pt>
                <c:pt idx="1151">
                  <c:v>-3.5000000000000002E-8</c:v>
                </c:pt>
                <c:pt idx="1152">
                  <c:v>-2.9999999999999997E-8</c:v>
                </c:pt>
                <c:pt idx="1153">
                  <c:v>-2.4999999999999999E-8</c:v>
                </c:pt>
                <c:pt idx="1154">
                  <c:v>-2E-8</c:v>
                </c:pt>
                <c:pt idx="1155">
                  <c:v>-1.4999999999999999E-8</c:v>
                </c:pt>
                <c:pt idx="1156">
                  <c:v>-1E-8</c:v>
                </c:pt>
                <c:pt idx="1157">
                  <c:v>-5.0000000000000001E-9</c:v>
                </c:pt>
                <c:pt idx="1158">
                  <c:v>0</c:v>
                </c:pt>
                <c:pt idx="1159">
                  <c:v>5.0000000000000001E-9</c:v>
                </c:pt>
                <c:pt idx="1160">
                  <c:v>1E-8</c:v>
                </c:pt>
                <c:pt idx="1161">
                  <c:v>1.4999999999999999E-8</c:v>
                </c:pt>
                <c:pt idx="1162">
                  <c:v>2E-8</c:v>
                </c:pt>
                <c:pt idx="1163">
                  <c:v>2.4999999999999999E-8</c:v>
                </c:pt>
                <c:pt idx="1164">
                  <c:v>2.9999999999999997E-8</c:v>
                </c:pt>
                <c:pt idx="1165">
                  <c:v>3.5000000000000002E-8</c:v>
                </c:pt>
                <c:pt idx="1166">
                  <c:v>4.0000000000000001E-8</c:v>
                </c:pt>
                <c:pt idx="1167">
                  <c:v>4.4999999999999999E-8</c:v>
                </c:pt>
                <c:pt idx="1168">
                  <c:v>4.9999999999999998E-8</c:v>
                </c:pt>
                <c:pt idx="1169">
                  <c:v>5.5000000000000003E-8</c:v>
                </c:pt>
                <c:pt idx="1170">
                  <c:v>5.9999999999999995E-8</c:v>
                </c:pt>
                <c:pt idx="1171">
                  <c:v>6.5E-8</c:v>
                </c:pt>
                <c:pt idx="1172">
                  <c:v>7.0000000000000005E-8</c:v>
                </c:pt>
                <c:pt idx="1173">
                  <c:v>7.4999999999999997E-8</c:v>
                </c:pt>
                <c:pt idx="1174">
                  <c:v>8.0000000000000002E-8</c:v>
                </c:pt>
                <c:pt idx="1175">
                  <c:v>8.4999999999999994E-8</c:v>
                </c:pt>
                <c:pt idx="1176">
                  <c:v>8.9999999999999999E-8</c:v>
                </c:pt>
                <c:pt idx="1177">
                  <c:v>9.5000000000000004E-8</c:v>
                </c:pt>
                <c:pt idx="1178">
                  <c:v>9.9999999999999995E-8</c:v>
                </c:pt>
                <c:pt idx="1179">
                  <c:v>1.05E-7</c:v>
                </c:pt>
                <c:pt idx="1180">
                  <c:v>1.1000000000000001E-7</c:v>
                </c:pt>
                <c:pt idx="1181">
                  <c:v>1.15E-7</c:v>
                </c:pt>
                <c:pt idx="1182">
                  <c:v>1.1999999999999999E-7</c:v>
                </c:pt>
                <c:pt idx="1183">
                  <c:v>1.2499999999999999E-7</c:v>
                </c:pt>
                <c:pt idx="1184">
                  <c:v>1.3E-7</c:v>
                </c:pt>
                <c:pt idx="1185">
                  <c:v>1.35E-7</c:v>
                </c:pt>
                <c:pt idx="1186">
                  <c:v>1.4000000000000001E-7</c:v>
                </c:pt>
                <c:pt idx="1187">
                  <c:v>1.4499999999999999E-7</c:v>
                </c:pt>
                <c:pt idx="1188">
                  <c:v>1.4999999999999999E-7</c:v>
                </c:pt>
                <c:pt idx="1189">
                  <c:v>1.55E-7</c:v>
                </c:pt>
                <c:pt idx="1190">
                  <c:v>1.6E-7</c:v>
                </c:pt>
                <c:pt idx="1191">
                  <c:v>1.6500000000000001E-7</c:v>
                </c:pt>
                <c:pt idx="1192">
                  <c:v>1.6999999999999999E-7</c:v>
                </c:pt>
                <c:pt idx="1193">
                  <c:v>1.7499999999999999E-7</c:v>
                </c:pt>
                <c:pt idx="1194">
                  <c:v>1.8E-7</c:v>
                </c:pt>
                <c:pt idx="1195">
                  <c:v>1.85E-7</c:v>
                </c:pt>
                <c:pt idx="1196">
                  <c:v>1.9000000000000001E-7</c:v>
                </c:pt>
                <c:pt idx="1197">
                  <c:v>1.9500000000000001E-7</c:v>
                </c:pt>
                <c:pt idx="1198">
                  <c:v>1.9999999999999999E-7</c:v>
                </c:pt>
                <c:pt idx="1199">
                  <c:v>2.05E-7</c:v>
                </c:pt>
                <c:pt idx="1200">
                  <c:v>2.1E-7</c:v>
                </c:pt>
                <c:pt idx="1201">
                  <c:v>2.1500000000000001E-7</c:v>
                </c:pt>
                <c:pt idx="1202">
                  <c:v>2.2000000000000001E-7</c:v>
                </c:pt>
                <c:pt idx="1203">
                  <c:v>2.2499999999999999E-7</c:v>
                </c:pt>
                <c:pt idx="1204">
                  <c:v>2.2999999999999999E-7</c:v>
                </c:pt>
                <c:pt idx="1205">
                  <c:v>2.35E-7</c:v>
                </c:pt>
                <c:pt idx="1206">
                  <c:v>2.3999999999999998E-7</c:v>
                </c:pt>
                <c:pt idx="1207">
                  <c:v>2.4499999999999998E-7</c:v>
                </c:pt>
                <c:pt idx="1208">
                  <c:v>2.4999999999999999E-7</c:v>
                </c:pt>
                <c:pt idx="1209">
                  <c:v>2.5499999999999999E-7</c:v>
                </c:pt>
                <c:pt idx="1210">
                  <c:v>2.6E-7</c:v>
                </c:pt>
                <c:pt idx="1211">
                  <c:v>2.65E-7</c:v>
                </c:pt>
                <c:pt idx="1212">
                  <c:v>2.7000000000000001E-7</c:v>
                </c:pt>
                <c:pt idx="1213">
                  <c:v>2.7500000000000001E-7</c:v>
                </c:pt>
                <c:pt idx="1214">
                  <c:v>2.8000000000000002E-7</c:v>
                </c:pt>
                <c:pt idx="1215">
                  <c:v>2.8500000000000002E-7</c:v>
                </c:pt>
                <c:pt idx="1216">
                  <c:v>2.8999999999999998E-7</c:v>
                </c:pt>
                <c:pt idx="1217">
                  <c:v>2.9499999999999998E-7</c:v>
                </c:pt>
                <c:pt idx="1218">
                  <c:v>2.9999999999999999E-7</c:v>
                </c:pt>
                <c:pt idx="1219">
                  <c:v>3.0499999999999999E-7</c:v>
                </c:pt>
                <c:pt idx="1220">
                  <c:v>3.1E-7</c:v>
                </c:pt>
                <c:pt idx="1221">
                  <c:v>3.15E-7</c:v>
                </c:pt>
                <c:pt idx="1222">
                  <c:v>3.2000000000000001E-7</c:v>
                </c:pt>
                <c:pt idx="1223">
                  <c:v>3.2500000000000001E-7</c:v>
                </c:pt>
                <c:pt idx="1224">
                  <c:v>3.3000000000000002E-7</c:v>
                </c:pt>
                <c:pt idx="1225">
                  <c:v>3.3500000000000002E-7</c:v>
                </c:pt>
                <c:pt idx="1226">
                  <c:v>3.3999999999999997E-7</c:v>
                </c:pt>
                <c:pt idx="1227">
                  <c:v>3.4499999999999998E-7</c:v>
                </c:pt>
                <c:pt idx="1228">
                  <c:v>3.4999999999999998E-7</c:v>
                </c:pt>
                <c:pt idx="1229">
                  <c:v>3.5499999999999999E-7</c:v>
                </c:pt>
                <c:pt idx="1230">
                  <c:v>3.5999999999999999E-7</c:v>
                </c:pt>
                <c:pt idx="1231">
                  <c:v>3.65E-7</c:v>
                </c:pt>
                <c:pt idx="1232">
                  <c:v>3.7E-7</c:v>
                </c:pt>
                <c:pt idx="1233">
                  <c:v>3.7500000000000001E-7</c:v>
                </c:pt>
                <c:pt idx="1234">
                  <c:v>3.8000000000000001E-7</c:v>
                </c:pt>
                <c:pt idx="1235">
                  <c:v>3.8500000000000002E-7</c:v>
                </c:pt>
                <c:pt idx="1236">
                  <c:v>3.9000000000000002E-7</c:v>
                </c:pt>
                <c:pt idx="1237">
                  <c:v>3.9499999999999998E-7</c:v>
                </c:pt>
                <c:pt idx="1238">
                  <c:v>3.9999999999999998E-7</c:v>
                </c:pt>
                <c:pt idx="1239">
                  <c:v>4.0499999999999999E-7</c:v>
                </c:pt>
                <c:pt idx="1240">
                  <c:v>4.0999999999999999E-7</c:v>
                </c:pt>
                <c:pt idx="1241">
                  <c:v>4.15E-7</c:v>
                </c:pt>
                <c:pt idx="1242">
                  <c:v>4.2E-7</c:v>
                </c:pt>
                <c:pt idx="1243">
                  <c:v>4.2500000000000001E-7</c:v>
                </c:pt>
                <c:pt idx="1244">
                  <c:v>4.3000000000000001E-7</c:v>
                </c:pt>
                <c:pt idx="1245">
                  <c:v>4.3500000000000002E-7</c:v>
                </c:pt>
                <c:pt idx="1246">
                  <c:v>4.4000000000000002E-7</c:v>
                </c:pt>
                <c:pt idx="1247">
                  <c:v>4.4499999999999997E-7</c:v>
                </c:pt>
                <c:pt idx="1248">
                  <c:v>4.4999999999999998E-7</c:v>
                </c:pt>
                <c:pt idx="1249">
                  <c:v>4.5499999999999998E-7</c:v>
                </c:pt>
                <c:pt idx="1250">
                  <c:v>4.5999999999999999E-7</c:v>
                </c:pt>
                <c:pt idx="1251">
                  <c:v>4.6499999999999999E-7</c:v>
                </c:pt>
                <c:pt idx="1252">
                  <c:v>4.7E-7</c:v>
                </c:pt>
                <c:pt idx="1253">
                  <c:v>4.75E-7</c:v>
                </c:pt>
                <c:pt idx="1254">
                  <c:v>4.7999999999999996E-7</c:v>
                </c:pt>
                <c:pt idx="1255">
                  <c:v>4.8500000000000002E-7</c:v>
                </c:pt>
                <c:pt idx="1256">
                  <c:v>4.8999999999999997E-7</c:v>
                </c:pt>
                <c:pt idx="1257">
                  <c:v>4.9500000000000003E-7</c:v>
                </c:pt>
                <c:pt idx="1258">
                  <c:v>4.9999999999999998E-7</c:v>
                </c:pt>
                <c:pt idx="1259">
                  <c:v>5.0500000000000004E-7</c:v>
                </c:pt>
                <c:pt idx="1260">
                  <c:v>5.0999999999999999E-7</c:v>
                </c:pt>
                <c:pt idx="1261">
                  <c:v>5.1500000000000005E-7</c:v>
                </c:pt>
                <c:pt idx="1262">
                  <c:v>5.2E-7</c:v>
                </c:pt>
                <c:pt idx="1263">
                  <c:v>5.2499999999999995E-7</c:v>
                </c:pt>
                <c:pt idx="1264">
                  <c:v>5.3000000000000001E-7</c:v>
                </c:pt>
                <c:pt idx="1265">
                  <c:v>5.3499999999999996E-7</c:v>
                </c:pt>
                <c:pt idx="1266">
                  <c:v>5.4000000000000002E-7</c:v>
                </c:pt>
                <c:pt idx="1267">
                  <c:v>5.4499999999999997E-7</c:v>
                </c:pt>
                <c:pt idx="1268">
                  <c:v>5.5000000000000003E-7</c:v>
                </c:pt>
                <c:pt idx="1269">
                  <c:v>5.5499999999999998E-7</c:v>
                </c:pt>
                <c:pt idx="1270">
                  <c:v>5.6000000000000004E-7</c:v>
                </c:pt>
                <c:pt idx="1271">
                  <c:v>5.6499999999999999E-7</c:v>
                </c:pt>
                <c:pt idx="1272">
                  <c:v>5.7000000000000005E-7</c:v>
                </c:pt>
                <c:pt idx="1273">
                  <c:v>5.75E-7</c:v>
                </c:pt>
                <c:pt idx="1274">
                  <c:v>5.7999999999999995E-7</c:v>
                </c:pt>
                <c:pt idx="1275">
                  <c:v>5.8500000000000001E-7</c:v>
                </c:pt>
                <c:pt idx="1276">
                  <c:v>5.8999999999999996E-7</c:v>
                </c:pt>
                <c:pt idx="1277">
                  <c:v>5.9500000000000002E-7</c:v>
                </c:pt>
                <c:pt idx="1278">
                  <c:v>5.9999999999999997E-7</c:v>
                </c:pt>
                <c:pt idx="1279">
                  <c:v>6.0500000000000003E-7</c:v>
                </c:pt>
                <c:pt idx="1280">
                  <c:v>6.0999999999999998E-7</c:v>
                </c:pt>
                <c:pt idx="1281">
                  <c:v>6.1500000000000004E-7</c:v>
                </c:pt>
                <c:pt idx="1282">
                  <c:v>6.1999999999999999E-7</c:v>
                </c:pt>
                <c:pt idx="1283">
                  <c:v>6.2500000000000005E-7</c:v>
                </c:pt>
                <c:pt idx="1284">
                  <c:v>6.3E-7</c:v>
                </c:pt>
                <c:pt idx="1285">
                  <c:v>6.3499999999999996E-7</c:v>
                </c:pt>
                <c:pt idx="1286">
                  <c:v>6.4000000000000001E-7</c:v>
                </c:pt>
                <c:pt idx="1287">
                  <c:v>6.4499999999999997E-7</c:v>
                </c:pt>
                <c:pt idx="1288">
                  <c:v>6.5000000000000002E-7</c:v>
                </c:pt>
                <c:pt idx="1289">
                  <c:v>6.5499999999999998E-7</c:v>
                </c:pt>
                <c:pt idx="1290">
                  <c:v>6.6000000000000003E-7</c:v>
                </c:pt>
                <c:pt idx="1291">
                  <c:v>6.6499999999999999E-7</c:v>
                </c:pt>
                <c:pt idx="1292">
                  <c:v>6.7000000000000004E-7</c:v>
                </c:pt>
                <c:pt idx="1293">
                  <c:v>6.75E-7</c:v>
                </c:pt>
                <c:pt idx="1294">
                  <c:v>6.7999999999999995E-7</c:v>
                </c:pt>
                <c:pt idx="1295">
                  <c:v>6.8500000000000001E-7</c:v>
                </c:pt>
                <c:pt idx="1296">
                  <c:v>6.8999999999999996E-7</c:v>
                </c:pt>
                <c:pt idx="1297">
                  <c:v>6.9500000000000002E-7</c:v>
                </c:pt>
                <c:pt idx="1298">
                  <c:v>6.9999999999999997E-7</c:v>
                </c:pt>
                <c:pt idx="1299">
                  <c:v>7.0500000000000003E-7</c:v>
                </c:pt>
                <c:pt idx="1300">
                  <c:v>7.0999999999999998E-7</c:v>
                </c:pt>
                <c:pt idx="1301">
                  <c:v>7.1500000000000004E-7</c:v>
                </c:pt>
                <c:pt idx="1302">
                  <c:v>7.1999999999999999E-7</c:v>
                </c:pt>
                <c:pt idx="1303">
                  <c:v>7.2500000000000005E-7</c:v>
                </c:pt>
                <c:pt idx="1304">
                  <c:v>7.3E-7</c:v>
                </c:pt>
                <c:pt idx="1305">
                  <c:v>7.3499999999999995E-7</c:v>
                </c:pt>
                <c:pt idx="1306">
                  <c:v>7.4000000000000001E-7</c:v>
                </c:pt>
                <c:pt idx="1307">
                  <c:v>7.4499999999999996E-7</c:v>
                </c:pt>
                <c:pt idx="1308">
                  <c:v>7.5000000000000002E-7</c:v>
                </c:pt>
                <c:pt idx="1309">
                  <c:v>7.5499999999999997E-7</c:v>
                </c:pt>
                <c:pt idx="1310">
                  <c:v>7.6000000000000003E-7</c:v>
                </c:pt>
                <c:pt idx="1311">
                  <c:v>7.6499999999999998E-7</c:v>
                </c:pt>
                <c:pt idx="1312">
                  <c:v>7.7000000000000004E-7</c:v>
                </c:pt>
                <c:pt idx="1313">
                  <c:v>7.7499999999999999E-7</c:v>
                </c:pt>
                <c:pt idx="1314">
                  <c:v>7.8000000000000005E-7</c:v>
                </c:pt>
                <c:pt idx="1315">
                  <c:v>7.85E-7</c:v>
                </c:pt>
                <c:pt idx="1316">
                  <c:v>7.8999999999999995E-7</c:v>
                </c:pt>
                <c:pt idx="1317">
                  <c:v>7.9500000000000001E-7</c:v>
                </c:pt>
                <c:pt idx="1318">
                  <c:v>7.9999999999999996E-7</c:v>
                </c:pt>
                <c:pt idx="1319">
                  <c:v>8.0500000000000002E-7</c:v>
                </c:pt>
                <c:pt idx="1320">
                  <c:v>8.0999999999999997E-7</c:v>
                </c:pt>
                <c:pt idx="1321">
                  <c:v>8.1500000000000003E-7</c:v>
                </c:pt>
                <c:pt idx="1322">
                  <c:v>8.1999999999999998E-7</c:v>
                </c:pt>
                <c:pt idx="1323">
                  <c:v>8.2500000000000004E-7</c:v>
                </c:pt>
                <c:pt idx="1324">
                  <c:v>8.2999999999999999E-7</c:v>
                </c:pt>
                <c:pt idx="1325">
                  <c:v>8.3500000000000005E-7</c:v>
                </c:pt>
                <c:pt idx="1326">
                  <c:v>8.4E-7</c:v>
                </c:pt>
                <c:pt idx="1327">
                  <c:v>8.4499999999999996E-7</c:v>
                </c:pt>
                <c:pt idx="1328">
                  <c:v>8.5000000000000001E-7</c:v>
                </c:pt>
                <c:pt idx="1329">
                  <c:v>8.5499999999999997E-7</c:v>
                </c:pt>
                <c:pt idx="1330">
                  <c:v>8.6000000000000002E-7</c:v>
                </c:pt>
                <c:pt idx="1331">
                  <c:v>8.6499999999999998E-7</c:v>
                </c:pt>
                <c:pt idx="1332">
                  <c:v>8.7000000000000003E-7</c:v>
                </c:pt>
                <c:pt idx="1333">
                  <c:v>8.7499999999999999E-7</c:v>
                </c:pt>
                <c:pt idx="1334">
                  <c:v>8.8000000000000004E-7</c:v>
                </c:pt>
                <c:pt idx="1335">
                  <c:v>8.85E-7</c:v>
                </c:pt>
                <c:pt idx="1336">
                  <c:v>8.8999999999999995E-7</c:v>
                </c:pt>
                <c:pt idx="1337">
                  <c:v>8.9500000000000001E-7</c:v>
                </c:pt>
                <c:pt idx="1338">
                  <c:v>8.9999999999999996E-7</c:v>
                </c:pt>
                <c:pt idx="1339">
                  <c:v>9.0500000000000002E-7</c:v>
                </c:pt>
                <c:pt idx="1340">
                  <c:v>9.0999999999999997E-7</c:v>
                </c:pt>
                <c:pt idx="1341">
                  <c:v>9.1500000000000003E-7</c:v>
                </c:pt>
                <c:pt idx="1342">
                  <c:v>9.1999999999999998E-7</c:v>
                </c:pt>
                <c:pt idx="1343">
                  <c:v>9.2500000000000004E-7</c:v>
                </c:pt>
                <c:pt idx="1344">
                  <c:v>9.2999999999999999E-7</c:v>
                </c:pt>
                <c:pt idx="1345">
                  <c:v>9.3500000000000005E-7</c:v>
                </c:pt>
                <c:pt idx="1346">
                  <c:v>9.4E-7</c:v>
                </c:pt>
                <c:pt idx="1347">
                  <c:v>9.4499999999999995E-7</c:v>
                </c:pt>
                <c:pt idx="1348">
                  <c:v>9.5000000000000001E-7</c:v>
                </c:pt>
                <c:pt idx="1349">
                  <c:v>9.5499999999999996E-7</c:v>
                </c:pt>
                <c:pt idx="1350">
                  <c:v>9.5999999999999991E-7</c:v>
                </c:pt>
                <c:pt idx="1351">
                  <c:v>9.6500000000000008E-7</c:v>
                </c:pt>
                <c:pt idx="1352">
                  <c:v>9.7000000000000003E-7</c:v>
                </c:pt>
                <c:pt idx="1353">
                  <c:v>9.7499999999999998E-7</c:v>
                </c:pt>
                <c:pt idx="1354">
                  <c:v>9.7999999999999993E-7</c:v>
                </c:pt>
                <c:pt idx="1355">
                  <c:v>9.850000000000001E-7</c:v>
                </c:pt>
                <c:pt idx="1356">
                  <c:v>9.9000000000000005E-7</c:v>
                </c:pt>
                <c:pt idx="1357">
                  <c:v>9.95E-7</c:v>
                </c:pt>
                <c:pt idx="1358">
                  <c:v>9.9999999999999995E-7</c:v>
                </c:pt>
                <c:pt idx="1359">
                  <c:v>1.0049999999999999E-6</c:v>
                </c:pt>
                <c:pt idx="1360">
                  <c:v>1.0100000000000001E-6</c:v>
                </c:pt>
                <c:pt idx="1361">
                  <c:v>1.015E-6</c:v>
                </c:pt>
                <c:pt idx="1362">
                  <c:v>1.02E-6</c:v>
                </c:pt>
                <c:pt idx="1363">
                  <c:v>1.0249999999999999E-6</c:v>
                </c:pt>
                <c:pt idx="1364">
                  <c:v>1.0300000000000001E-6</c:v>
                </c:pt>
                <c:pt idx="1365">
                  <c:v>1.035E-6</c:v>
                </c:pt>
                <c:pt idx="1366">
                  <c:v>1.04E-6</c:v>
                </c:pt>
                <c:pt idx="1367">
                  <c:v>1.0449999999999999E-6</c:v>
                </c:pt>
                <c:pt idx="1368">
                  <c:v>1.0499999999999999E-6</c:v>
                </c:pt>
                <c:pt idx="1369">
                  <c:v>1.0550000000000001E-6</c:v>
                </c:pt>
                <c:pt idx="1370">
                  <c:v>1.06E-6</c:v>
                </c:pt>
                <c:pt idx="1371">
                  <c:v>1.065E-6</c:v>
                </c:pt>
                <c:pt idx="1372">
                  <c:v>1.0699999999999999E-6</c:v>
                </c:pt>
                <c:pt idx="1373">
                  <c:v>1.0750000000000001E-6</c:v>
                </c:pt>
                <c:pt idx="1374">
                  <c:v>1.08E-6</c:v>
                </c:pt>
                <c:pt idx="1375">
                  <c:v>1.085E-6</c:v>
                </c:pt>
                <c:pt idx="1376">
                  <c:v>1.0899999999999999E-6</c:v>
                </c:pt>
                <c:pt idx="1377">
                  <c:v>1.0950000000000001E-6</c:v>
                </c:pt>
                <c:pt idx="1378">
                  <c:v>1.1000000000000001E-6</c:v>
                </c:pt>
                <c:pt idx="1379">
                  <c:v>1.105E-6</c:v>
                </c:pt>
                <c:pt idx="1380">
                  <c:v>1.11E-6</c:v>
                </c:pt>
                <c:pt idx="1381">
                  <c:v>1.1149999999999999E-6</c:v>
                </c:pt>
                <c:pt idx="1382">
                  <c:v>1.1200000000000001E-6</c:v>
                </c:pt>
                <c:pt idx="1383">
                  <c:v>1.125E-6</c:v>
                </c:pt>
                <c:pt idx="1384">
                  <c:v>1.13E-6</c:v>
                </c:pt>
                <c:pt idx="1385">
                  <c:v>1.1349999999999999E-6</c:v>
                </c:pt>
                <c:pt idx="1386">
                  <c:v>1.1400000000000001E-6</c:v>
                </c:pt>
                <c:pt idx="1387">
                  <c:v>1.145E-6</c:v>
                </c:pt>
                <c:pt idx="1388">
                  <c:v>1.15E-6</c:v>
                </c:pt>
                <c:pt idx="1389">
                  <c:v>1.155E-6</c:v>
                </c:pt>
                <c:pt idx="1390">
                  <c:v>1.1599999999999999E-6</c:v>
                </c:pt>
                <c:pt idx="1391">
                  <c:v>1.1650000000000001E-6</c:v>
                </c:pt>
                <c:pt idx="1392">
                  <c:v>1.17E-6</c:v>
                </c:pt>
                <c:pt idx="1393">
                  <c:v>1.175E-6</c:v>
                </c:pt>
                <c:pt idx="1394">
                  <c:v>1.1799999999999999E-6</c:v>
                </c:pt>
                <c:pt idx="1395">
                  <c:v>1.1850000000000001E-6</c:v>
                </c:pt>
                <c:pt idx="1396">
                  <c:v>1.19E-6</c:v>
                </c:pt>
                <c:pt idx="1397">
                  <c:v>1.195E-6</c:v>
                </c:pt>
                <c:pt idx="1398">
                  <c:v>1.1999999999999999E-6</c:v>
                </c:pt>
                <c:pt idx="1399">
                  <c:v>1.2049999999999999E-6</c:v>
                </c:pt>
                <c:pt idx="1400">
                  <c:v>1.2100000000000001E-6</c:v>
                </c:pt>
                <c:pt idx="1401">
                  <c:v>1.215E-6</c:v>
                </c:pt>
                <c:pt idx="1402">
                  <c:v>1.22E-6</c:v>
                </c:pt>
                <c:pt idx="1403">
                  <c:v>1.2249999999999999E-6</c:v>
                </c:pt>
                <c:pt idx="1404">
                  <c:v>1.2300000000000001E-6</c:v>
                </c:pt>
                <c:pt idx="1405">
                  <c:v>1.235E-6</c:v>
                </c:pt>
                <c:pt idx="1406">
                  <c:v>1.24E-6</c:v>
                </c:pt>
                <c:pt idx="1407">
                  <c:v>1.2449999999999999E-6</c:v>
                </c:pt>
                <c:pt idx="1408">
                  <c:v>1.2500000000000001E-6</c:v>
                </c:pt>
                <c:pt idx="1409">
                  <c:v>1.2550000000000001E-6</c:v>
                </c:pt>
                <c:pt idx="1410">
                  <c:v>1.26E-6</c:v>
                </c:pt>
                <c:pt idx="1411">
                  <c:v>1.265E-6</c:v>
                </c:pt>
                <c:pt idx="1412">
                  <c:v>1.2699999999999999E-6</c:v>
                </c:pt>
                <c:pt idx="1413">
                  <c:v>1.2750000000000001E-6</c:v>
                </c:pt>
                <c:pt idx="1414">
                  <c:v>1.28E-6</c:v>
                </c:pt>
                <c:pt idx="1415">
                  <c:v>1.285E-6</c:v>
                </c:pt>
                <c:pt idx="1416">
                  <c:v>1.2899999999999999E-6</c:v>
                </c:pt>
                <c:pt idx="1417">
                  <c:v>1.2950000000000001E-6</c:v>
                </c:pt>
                <c:pt idx="1418">
                  <c:v>1.3E-6</c:v>
                </c:pt>
                <c:pt idx="1419">
                  <c:v>1.305E-6</c:v>
                </c:pt>
                <c:pt idx="1420">
                  <c:v>1.31E-6</c:v>
                </c:pt>
                <c:pt idx="1421">
                  <c:v>1.3149999999999999E-6</c:v>
                </c:pt>
                <c:pt idx="1422">
                  <c:v>1.3200000000000001E-6</c:v>
                </c:pt>
                <c:pt idx="1423">
                  <c:v>1.325E-6</c:v>
                </c:pt>
                <c:pt idx="1424">
                  <c:v>1.33E-6</c:v>
                </c:pt>
                <c:pt idx="1425">
                  <c:v>1.3349999999999999E-6</c:v>
                </c:pt>
                <c:pt idx="1426">
                  <c:v>1.3400000000000001E-6</c:v>
                </c:pt>
                <c:pt idx="1427">
                  <c:v>1.345E-6</c:v>
                </c:pt>
                <c:pt idx="1428">
                  <c:v>1.35E-6</c:v>
                </c:pt>
                <c:pt idx="1429">
                  <c:v>1.3549999999999999E-6</c:v>
                </c:pt>
                <c:pt idx="1430">
                  <c:v>1.3599999999999999E-6</c:v>
                </c:pt>
                <c:pt idx="1431">
                  <c:v>1.3650000000000001E-6</c:v>
                </c:pt>
                <c:pt idx="1432">
                  <c:v>1.37E-6</c:v>
                </c:pt>
                <c:pt idx="1433">
                  <c:v>1.375E-6</c:v>
                </c:pt>
                <c:pt idx="1434">
                  <c:v>1.3799999999999999E-6</c:v>
                </c:pt>
                <c:pt idx="1435">
                  <c:v>1.3850000000000001E-6</c:v>
                </c:pt>
                <c:pt idx="1436">
                  <c:v>1.39E-6</c:v>
                </c:pt>
                <c:pt idx="1437">
                  <c:v>1.395E-6</c:v>
                </c:pt>
                <c:pt idx="1438">
                  <c:v>1.3999999999999999E-6</c:v>
                </c:pt>
                <c:pt idx="1439">
                  <c:v>1.4050000000000001E-6</c:v>
                </c:pt>
                <c:pt idx="1440">
                  <c:v>1.4100000000000001E-6</c:v>
                </c:pt>
                <c:pt idx="1441">
                  <c:v>1.415E-6</c:v>
                </c:pt>
                <c:pt idx="1442">
                  <c:v>1.42E-6</c:v>
                </c:pt>
                <c:pt idx="1443">
                  <c:v>1.4249999999999999E-6</c:v>
                </c:pt>
                <c:pt idx="1444">
                  <c:v>1.4300000000000001E-6</c:v>
                </c:pt>
                <c:pt idx="1445">
                  <c:v>1.435E-6</c:v>
                </c:pt>
                <c:pt idx="1446">
                  <c:v>1.44E-6</c:v>
                </c:pt>
                <c:pt idx="1447">
                  <c:v>1.4449999999999999E-6</c:v>
                </c:pt>
                <c:pt idx="1448">
                  <c:v>1.4500000000000001E-6</c:v>
                </c:pt>
                <c:pt idx="1449">
                  <c:v>1.455E-6</c:v>
                </c:pt>
                <c:pt idx="1450">
                  <c:v>1.46E-6</c:v>
                </c:pt>
                <c:pt idx="1451">
                  <c:v>1.4649999999999999E-6</c:v>
                </c:pt>
                <c:pt idx="1452">
                  <c:v>1.4699999999999999E-6</c:v>
                </c:pt>
                <c:pt idx="1453">
                  <c:v>1.4750000000000001E-6</c:v>
                </c:pt>
                <c:pt idx="1454">
                  <c:v>1.48E-6</c:v>
                </c:pt>
                <c:pt idx="1455">
                  <c:v>1.485E-6</c:v>
                </c:pt>
                <c:pt idx="1456">
                  <c:v>1.4899999999999999E-6</c:v>
                </c:pt>
                <c:pt idx="1457">
                  <c:v>1.4950000000000001E-6</c:v>
                </c:pt>
                <c:pt idx="1458">
                  <c:v>1.5E-6</c:v>
                </c:pt>
                <c:pt idx="1459">
                  <c:v>1.505E-6</c:v>
                </c:pt>
                <c:pt idx="1460">
                  <c:v>1.5099999999999999E-6</c:v>
                </c:pt>
                <c:pt idx="1461">
                  <c:v>1.5149999999999999E-6</c:v>
                </c:pt>
                <c:pt idx="1462">
                  <c:v>1.5200000000000001E-6</c:v>
                </c:pt>
                <c:pt idx="1463">
                  <c:v>1.525E-6</c:v>
                </c:pt>
                <c:pt idx="1464">
                  <c:v>1.53E-6</c:v>
                </c:pt>
                <c:pt idx="1465">
                  <c:v>1.5349999999999999E-6</c:v>
                </c:pt>
                <c:pt idx="1466">
                  <c:v>1.5400000000000001E-6</c:v>
                </c:pt>
                <c:pt idx="1467">
                  <c:v>1.545E-6</c:v>
                </c:pt>
                <c:pt idx="1468">
                  <c:v>1.55E-6</c:v>
                </c:pt>
                <c:pt idx="1469">
                  <c:v>1.5549999999999999E-6</c:v>
                </c:pt>
                <c:pt idx="1470">
                  <c:v>1.5600000000000001E-6</c:v>
                </c:pt>
                <c:pt idx="1471">
                  <c:v>1.5650000000000001E-6</c:v>
                </c:pt>
                <c:pt idx="1472">
                  <c:v>1.57E-6</c:v>
                </c:pt>
                <c:pt idx="1473">
                  <c:v>1.575E-6</c:v>
                </c:pt>
                <c:pt idx="1474">
                  <c:v>1.5799999999999999E-6</c:v>
                </c:pt>
                <c:pt idx="1475">
                  <c:v>1.5850000000000001E-6</c:v>
                </c:pt>
                <c:pt idx="1476">
                  <c:v>1.59E-6</c:v>
                </c:pt>
                <c:pt idx="1477">
                  <c:v>1.595E-6</c:v>
                </c:pt>
                <c:pt idx="1478">
                  <c:v>1.5999999999999999E-6</c:v>
                </c:pt>
                <c:pt idx="1479">
                  <c:v>1.6050000000000001E-6</c:v>
                </c:pt>
                <c:pt idx="1480">
                  <c:v>1.61E-6</c:v>
                </c:pt>
                <c:pt idx="1481">
                  <c:v>1.615E-6</c:v>
                </c:pt>
                <c:pt idx="1482">
                  <c:v>1.6199999999999999E-6</c:v>
                </c:pt>
                <c:pt idx="1483">
                  <c:v>1.6249999999999999E-6</c:v>
                </c:pt>
                <c:pt idx="1484">
                  <c:v>1.6300000000000001E-6</c:v>
                </c:pt>
                <c:pt idx="1485">
                  <c:v>1.635E-6</c:v>
                </c:pt>
                <c:pt idx="1486">
                  <c:v>1.64E-6</c:v>
                </c:pt>
                <c:pt idx="1487">
                  <c:v>1.6449999999999999E-6</c:v>
                </c:pt>
                <c:pt idx="1488">
                  <c:v>1.6500000000000001E-6</c:v>
                </c:pt>
                <c:pt idx="1489">
                  <c:v>1.655E-6</c:v>
                </c:pt>
                <c:pt idx="1490">
                  <c:v>1.66E-6</c:v>
                </c:pt>
                <c:pt idx="1491">
                  <c:v>1.6649999999999999E-6</c:v>
                </c:pt>
                <c:pt idx="1492">
                  <c:v>1.6700000000000001E-6</c:v>
                </c:pt>
                <c:pt idx="1493">
                  <c:v>1.6750000000000001E-6</c:v>
                </c:pt>
                <c:pt idx="1494">
                  <c:v>1.68E-6</c:v>
                </c:pt>
                <c:pt idx="1495">
                  <c:v>1.685E-6</c:v>
                </c:pt>
                <c:pt idx="1496">
                  <c:v>1.6899999999999999E-6</c:v>
                </c:pt>
                <c:pt idx="1497">
                  <c:v>1.6950000000000001E-6</c:v>
                </c:pt>
                <c:pt idx="1498">
                  <c:v>1.7E-6</c:v>
                </c:pt>
                <c:pt idx="1499">
                  <c:v>1.705E-6</c:v>
                </c:pt>
                <c:pt idx="1500">
                  <c:v>1.7099999999999999E-6</c:v>
                </c:pt>
                <c:pt idx="1501">
                  <c:v>1.7150000000000001E-6</c:v>
                </c:pt>
                <c:pt idx="1502">
                  <c:v>1.72E-6</c:v>
                </c:pt>
                <c:pt idx="1503">
                  <c:v>1.725E-6</c:v>
                </c:pt>
                <c:pt idx="1504">
                  <c:v>1.73E-6</c:v>
                </c:pt>
                <c:pt idx="1505">
                  <c:v>1.7349999999999999E-6</c:v>
                </c:pt>
                <c:pt idx="1506">
                  <c:v>1.7400000000000001E-6</c:v>
                </c:pt>
                <c:pt idx="1507">
                  <c:v>1.745E-6</c:v>
                </c:pt>
                <c:pt idx="1508">
                  <c:v>1.75E-6</c:v>
                </c:pt>
                <c:pt idx="1509">
                  <c:v>1.7549999999999999E-6</c:v>
                </c:pt>
                <c:pt idx="1510">
                  <c:v>1.7600000000000001E-6</c:v>
                </c:pt>
                <c:pt idx="1511">
                  <c:v>1.765E-6</c:v>
                </c:pt>
                <c:pt idx="1512">
                  <c:v>1.77E-6</c:v>
                </c:pt>
                <c:pt idx="1513">
                  <c:v>1.7749999999999999E-6</c:v>
                </c:pt>
                <c:pt idx="1514">
                  <c:v>1.7799999999999999E-6</c:v>
                </c:pt>
                <c:pt idx="1515">
                  <c:v>1.7850000000000001E-6</c:v>
                </c:pt>
                <c:pt idx="1516">
                  <c:v>1.79E-6</c:v>
                </c:pt>
                <c:pt idx="1517">
                  <c:v>1.795E-6</c:v>
                </c:pt>
                <c:pt idx="1518">
                  <c:v>1.7999999999999999E-6</c:v>
                </c:pt>
                <c:pt idx="1519">
                  <c:v>1.8050000000000001E-6</c:v>
                </c:pt>
                <c:pt idx="1520">
                  <c:v>1.81E-6</c:v>
                </c:pt>
                <c:pt idx="1521">
                  <c:v>1.815E-6</c:v>
                </c:pt>
                <c:pt idx="1522">
                  <c:v>1.8199999999999999E-6</c:v>
                </c:pt>
                <c:pt idx="1523">
                  <c:v>1.8250000000000001E-6</c:v>
                </c:pt>
                <c:pt idx="1524">
                  <c:v>1.8300000000000001E-6</c:v>
                </c:pt>
                <c:pt idx="1525">
                  <c:v>1.835E-6</c:v>
                </c:pt>
                <c:pt idx="1526">
                  <c:v>1.84E-6</c:v>
                </c:pt>
                <c:pt idx="1527">
                  <c:v>1.8449999999999999E-6</c:v>
                </c:pt>
                <c:pt idx="1528">
                  <c:v>1.8500000000000001E-6</c:v>
                </c:pt>
                <c:pt idx="1529">
                  <c:v>1.855E-6</c:v>
                </c:pt>
                <c:pt idx="1530">
                  <c:v>1.86E-6</c:v>
                </c:pt>
                <c:pt idx="1531">
                  <c:v>1.8649999999999999E-6</c:v>
                </c:pt>
                <c:pt idx="1532">
                  <c:v>1.8700000000000001E-6</c:v>
                </c:pt>
                <c:pt idx="1533">
                  <c:v>1.875E-6</c:v>
                </c:pt>
                <c:pt idx="1534">
                  <c:v>1.88E-6</c:v>
                </c:pt>
                <c:pt idx="1535">
                  <c:v>1.885E-6</c:v>
                </c:pt>
                <c:pt idx="1536">
                  <c:v>1.8899999999999999E-6</c:v>
                </c:pt>
                <c:pt idx="1537">
                  <c:v>1.8950000000000001E-6</c:v>
                </c:pt>
                <c:pt idx="1538">
                  <c:v>1.9E-6</c:v>
                </c:pt>
                <c:pt idx="1539">
                  <c:v>1.905E-6</c:v>
                </c:pt>
                <c:pt idx="1540">
                  <c:v>1.9099999999999999E-6</c:v>
                </c:pt>
                <c:pt idx="1541">
                  <c:v>1.9149999999999999E-6</c:v>
                </c:pt>
                <c:pt idx="1542">
                  <c:v>1.9199999999999998E-6</c:v>
                </c:pt>
                <c:pt idx="1543">
                  <c:v>1.9250000000000002E-6</c:v>
                </c:pt>
                <c:pt idx="1544">
                  <c:v>1.9300000000000002E-6</c:v>
                </c:pt>
                <c:pt idx="1545">
                  <c:v>1.9350000000000001E-6</c:v>
                </c:pt>
                <c:pt idx="1546">
                  <c:v>1.9400000000000001E-6</c:v>
                </c:pt>
                <c:pt idx="1547">
                  <c:v>1.945E-6</c:v>
                </c:pt>
                <c:pt idx="1548">
                  <c:v>1.95E-6</c:v>
                </c:pt>
                <c:pt idx="1549">
                  <c:v>1.9549999999999999E-6</c:v>
                </c:pt>
                <c:pt idx="1550">
                  <c:v>1.9599999999999999E-6</c:v>
                </c:pt>
                <c:pt idx="1551">
                  <c:v>1.9649999999999998E-6</c:v>
                </c:pt>
                <c:pt idx="1552">
                  <c:v>1.9700000000000002E-6</c:v>
                </c:pt>
                <c:pt idx="1553">
                  <c:v>1.9750000000000001E-6</c:v>
                </c:pt>
                <c:pt idx="1554">
                  <c:v>1.9800000000000001E-6</c:v>
                </c:pt>
                <c:pt idx="1555">
                  <c:v>1.9850000000000001E-6</c:v>
                </c:pt>
                <c:pt idx="1556">
                  <c:v>1.99E-6</c:v>
                </c:pt>
                <c:pt idx="1557">
                  <c:v>1.995E-6</c:v>
                </c:pt>
                <c:pt idx="1558">
                  <c:v>1.9999999999999999E-6</c:v>
                </c:pt>
                <c:pt idx="1559">
                  <c:v>2.0049999999999999E-6</c:v>
                </c:pt>
                <c:pt idx="1560">
                  <c:v>2.0099999999999998E-6</c:v>
                </c:pt>
                <c:pt idx="1561">
                  <c:v>2.0150000000000002E-6</c:v>
                </c:pt>
                <c:pt idx="1562">
                  <c:v>2.0200000000000001E-6</c:v>
                </c:pt>
                <c:pt idx="1563">
                  <c:v>2.0250000000000001E-6</c:v>
                </c:pt>
                <c:pt idx="1564">
                  <c:v>2.03E-6</c:v>
                </c:pt>
                <c:pt idx="1565">
                  <c:v>2.035E-6</c:v>
                </c:pt>
                <c:pt idx="1566">
                  <c:v>2.04E-6</c:v>
                </c:pt>
                <c:pt idx="1567">
                  <c:v>2.0449999999999999E-6</c:v>
                </c:pt>
                <c:pt idx="1568">
                  <c:v>2.0499999999999999E-6</c:v>
                </c:pt>
                <c:pt idx="1569">
                  <c:v>2.0549999999999998E-6</c:v>
                </c:pt>
                <c:pt idx="1570">
                  <c:v>2.0600000000000002E-6</c:v>
                </c:pt>
                <c:pt idx="1571">
                  <c:v>2.0650000000000001E-6</c:v>
                </c:pt>
                <c:pt idx="1572">
                  <c:v>2.0700000000000001E-6</c:v>
                </c:pt>
                <c:pt idx="1573">
                  <c:v>2.075E-6</c:v>
                </c:pt>
                <c:pt idx="1574">
                  <c:v>2.08E-6</c:v>
                </c:pt>
                <c:pt idx="1575">
                  <c:v>2.0849999999999999E-6</c:v>
                </c:pt>
                <c:pt idx="1576">
                  <c:v>2.0899999999999999E-6</c:v>
                </c:pt>
                <c:pt idx="1577">
                  <c:v>2.0949999999999998E-6</c:v>
                </c:pt>
                <c:pt idx="1578">
                  <c:v>2.0999999999999998E-6</c:v>
                </c:pt>
                <c:pt idx="1579">
                  <c:v>2.1050000000000002E-6</c:v>
                </c:pt>
                <c:pt idx="1580">
                  <c:v>2.1100000000000001E-6</c:v>
                </c:pt>
                <c:pt idx="1581">
                  <c:v>2.1150000000000001E-6</c:v>
                </c:pt>
                <c:pt idx="1582">
                  <c:v>2.12E-6</c:v>
                </c:pt>
                <c:pt idx="1583">
                  <c:v>2.125E-6</c:v>
                </c:pt>
                <c:pt idx="1584">
                  <c:v>2.1299999999999999E-6</c:v>
                </c:pt>
                <c:pt idx="1585">
                  <c:v>2.1349999999999999E-6</c:v>
                </c:pt>
                <c:pt idx="1586">
                  <c:v>2.1399999999999998E-6</c:v>
                </c:pt>
                <c:pt idx="1587">
                  <c:v>2.1449999999999998E-6</c:v>
                </c:pt>
                <c:pt idx="1588">
                  <c:v>2.1500000000000002E-6</c:v>
                </c:pt>
                <c:pt idx="1589">
                  <c:v>2.1550000000000001E-6</c:v>
                </c:pt>
                <c:pt idx="1590">
                  <c:v>2.1600000000000001E-6</c:v>
                </c:pt>
                <c:pt idx="1591">
                  <c:v>2.165E-6</c:v>
                </c:pt>
                <c:pt idx="1592">
                  <c:v>2.17E-6</c:v>
                </c:pt>
                <c:pt idx="1593">
                  <c:v>2.1749999999999999E-6</c:v>
                </c:pt>
                <c:pt idx="1594">
                  <c:v>2.1799999999999999E-6</c:v>
                </c:pt>
                <c:pt idx="1595">
                  <c:v>2.1849999999999998E-6</c:v>
                </c:pt>
                <c:pt idx="1596">
                  <c:v>2.1900000000000002E-6</c:v>
                </c:pt>
                <c:pt idx="1597">
                  <c:v>2.1950000000000002E-6</c:v>
                </c:pt>
                <c:pt idx="1598">
                  <c:v>2.2000000000000001E-6</c:v>
                </c:pt>
                <c:pt idx="1599">
                  <c:v>2.2050000000000001E-6</c:v>
                </c:pt>
                <c:pt idx="1600">
                  <c:v>2.21E-6</c:v>
                </c:pt>
                <c:pt idx="1601">
                  <c:v>2.215E-6</c:v>
                </c:pt>
                <c:pt idx="1602">
                  <c:v>2.2199999999999999E-6</c:v>
                </c:pt>
                <c:pt idx="1603">
                  <c:v>2.2249999999999999E-6</c:v>
                </c:pt>
                <c:pt idx="1604">
                  <c:v>2.2299999999999998E-6</c:v>
                </c:pt>
                <c:pt idx="1605">
                  <c:v>2.2350000000000002E-6</c:v>
                </c:pt>
                <c:pt idx="1606">
                  <c:v>2.2400000000000002E-6</c:v>
                </c:pt>
                <c:pt idx="1607">
                  <c:v>2.2450000000000001E-6</c:v>
                </c:pt>
                <c:pt idx="1608">
                  <c:v>2.2500000000000001E-6</c:v>
                </c:pt>
                <c:pt idx="1609">
                  <c:v>2.255E-6</c:v>
                </c:pt>
                <c:pt idx="1610">
                  <c:v>2.26E-6</c:v>
                </c:pt>
                <c:pt idx="1611">
                  <c:v>2.2649999999999999E-6</c:v>
                </c:pt>
                <c:pt idx="1612">
                  <c:v>2.2699999999999999E-6</c:v>
                </c:pt>
                <c:pt idx="1613">
                  <c:v>2.2749999999999998E-6</c:v>
                </c:pt>
                <c:pt idx="1614">
                  <c:v>2.2800000000000002E-6</c:v>
                </c:pt>
                <c:pt idx="1615">
                  <c:v>2.2850000000000001E-6</c:v>
                </c:pt>
                <c:pt idx="1616">
                  <c:v>2.2900000000000001E-6</c:v>
                </c:pt>
                <c:pt idx="1617">
                  <c:v>2.295E-6</c:v>
                </c:pt>
                <c:pt idx="1618">
                  <c:v>2.3E-6</c:v>
                </c:pt>
                <c:pt idx="1619">
                  <c:v>2.305E-6</c:v>
                </c:pt>
                <c:pt idx="1620">
                  <c:v>2.3099999999999999E-6</c:v>
                </c:pt>
                <c:pt idx="1621">
                  <c:v>2.3149999999999999E-6</c:v>
                </c:pt>
                <c:pt idx="1622">
                  <c:v>2.3199999999999998E-6</c:v>
                </c:pt>
                <c:pt idx="1623">
                  <c:v>2.3250000000000002E-6</c:v>
                </c:pt>
                <c:pt idx="1624">
                  <c:v>2.3300000000000001E-6</c:v>
                </c:pt>
                <c:pt idx="1625">
                  <c:v>2.3350000000000001E-6</c:v>
                </c:pt>
                <c:pt idx="1626">
                  <c:v>2.34E-6</c:v>
                </c:pt>
                <c:pt idx="1627">
                  <c:v>2.345E-6</c:v>
                </c:pt>
                <c:pt idx="1628">
                  <c:v>2.3499999999999999E-6</c:v>
                </c:pt>
                <c:pt idx="1629">
                  <c:v>2.3549999999999999E-6</c:v>
                </c:pt>
                <c:pt idx="1630">
                  <c:v>2.3599999999999999E-6</c:v>
                </c:pt>
                <c:pt idx="1631">
                  <c:v>2.3649999999999998E-6</c:v>
                </c:pt>
                <c:pt idx="1632">
                  <c:v>2.3700000000000002E-6</c:v>
                </c:pt>
                <c:pt idx="1633">
                  <c:v>2.3750000000000001E-6</c:v>
                </c:pt>
                <c:pt idx="1634">
                  <c:v>2.3800000000000001E-6</c:v>
                </c:pt>
                <c:pt idx="1635">
                  <c:v>2.385E-6</c:v>
                </c:pt>
                <c:pt idx="1636">
                  <c:v>2.39E-6</c:v>
                </c:pt>
                <c:pt idx="1637">
                  <c:v>2.3949999999999999E-6</c:v>
                </c:pt>
                <c:pt idx="1638">
                  <c:v>2.3999999999999999E-6</c:v>
                </c:pt>
                <c:pt idx="1639">
                  <c:v>2.4049999999999998E-6</c:v>
                </c:pt>
                <c:pt idx="1640">
                  <c:v>2.4099999999999998E-6</c:v>
                </c:pt>
                <c:pt idx="1641">
                  <c:v>2.4150000000000002E-6</c:v>
                </c:pt>
                <c:pt idx="1642">
                  <c:v>2.4200000000000001E-6</c:v>
                </c:pt>
                <c:pt idx="1643">
                  <c:v>2.4250000000000001E-6</c:v>
                </c:pt>
                <c:pt idx="1644">
                  <c:v>2.43E-6</c:v>
                </c:pt>
                <c:pt idx="1645">
                  <c:v>2.435E-6</c:v>
                </c:pt>
                <c:pt idx="1646">
                  <c:v>2.4399999999999999E-6</c:v>
                </c:pt>
                <c:pt idx="1647">
                  <c:v>2.4449999999999999E-6</c:v>
                </c:pt>
                <c:pt idx="1648">
                  <c:v>2.4499999999999998E-6</c:v>
                </c:pt>
                <c:pt idx="1649">
                  <c:v>2.4550000000000002E-6</c:v>
                </c:pt>
                <c:pt idx="1650">
                  <c:v>2.4600000000000002E-6</c:v>
                </c:pt>
                <c:pt idx="1651">
                  <c:v>2.4650000000000001E-6</c:v>
                </c:pt>
                <c:pt idx="1652">
                  <c:v>2.4700000000000001E-6</c:v>
                </c:pt>
                <c:pt idx="1653">
                  <c:v>2.475E-6</c:v>
                </c:pt>
                <c:pt idx="1654">
                  <c:v>2.48E-6</c:v>
                </c:pt>
                <c:pt idx="1655">
                  <c:v>2.4849999999999999E-6</c:v>
                </c:pt>
                <c:pt idx="1656">
                  <c:v>2.4899999999999999E-6</c:v>
                </c:pt>
                <c:pt idx="1657">
                  <c:v>2.4949999999999998E-6</c:v>
                </c:pt>
                <c:pt idx="1658">
                  <c:v>2.5000000000000002E-6</c:v>
                </c:pt>
                <c:pt idx="1659">
                  <c:v>2.5050000000000002E-6</c:v>
                </c:pt>
                <c:pt idx="1660">
                  <c:v>2.5100000000000001E-6</c:v>
                </c:pt>
                <c:pt idx="1661">
                  <c:v>2.5150000000000001E-6</c:v>
                </c:pt>
                <c:pt idx="1662">
                  <c:v>2.52E-6</c:v>
                </c:pt>
                <c:pt idx="1663">
                  <c:v>2.525E-6</c:v>
                </c:pt>
                <c:pt idx="1664">
                  <c:v>2.5299999999999999E-6</c:v>
                </c:pt>
                <c:pt idx="1665">
                  <c:v>2.5349999999999999E-6</c:v>
                </c:pt>
                <c:pt idx="1666">
                  <c:v>2.5399999999999998E-6</c:v>
                </c:pt>
                <c:pt idx="1667">
                  <c:v>2.5450000000000002E-6</c:v>
                </c:pt>
                <c:pt idx="1668">
                  <c:v>2.5500000000000001E-6</c:v>
                </c:pt>
                <c:pt idx="1669">
                  <c:v>2.5550000000000001E-6</c:v>
                </c:pt>
                <c:pt idx="1670">
                  <c:v>2.5600000000000001E-6</c:v>
                </c:pt>
                <c:pt idx="1671">
                  <c:v>2.565E-6</c:v>
                </c:pt>
                <c:pt idx="1672">
                  <c:v>2.57E-6</c:v>
                </c:pt>
                <c:pt idx="1673">
                  <c:v>2.5749999999999999E-6</c:v>
                </c:pt>
                <c:pt idx="1674">
                  <c:v>2.5799999999999999E-6</c:v>
                </c:pt>
                <c:pt idx="1675">
                  <c:v>2.5849999999999998E-6</c:v>
                </c:pt>
                <c:pt idx="1676">
                  <c:v>2.5900000000000002E-6</c:v>
                </c:pt>
                <c:pt idx="1677">
                  <c:v>2.5950000000000001E-6</c:v>
                </c:pt>
                <c:pt idx="1678">
                  <c:v>2.6000000000000001E-6</c:v>
                </c:pt>
                <c:pt idx="1679">
                  <c:v>2.605E-6</c:v>
                </c:pt>
                <c:pt idx="1680">
                  <c:v>2.61E-6</c:v>
                </c:pt>
                <c:pt idx="1681">
                  <c:v>2.615E-6</c:v>
                </c:pt>
                <c:pt idx="1682">
                  <c:v>2.6199999999999999E-6</c:v>
                </c:pt>
                <c:pt idx="1683">
                  <c:v>2.6249999999999999E-6</c:v>
                </c:pt>
                <c:pt idx="1684">
                  <c:v>2.6299999999999998E-6</c:v>
                </c:pt>
                <c:pt idx="1685">
                  <c:v>2.6350000000000002E-6</c:v>
                </c:pt>
                <c:pt idx="1686">
                  <c:v>2.6400000000000001E-6</c:v>
                </c:pt>
                <c:pt idx="1687">
                  <c:v>2.6450000000000001E-6</c:v>
                </c:pt>
                <c:pt idx="1688">
                  <c:v>2.65E-6</c:v>
                </c:pt>
                <c:pt idx="1689">
                  <c:v>2.655E-6</c:v>
                </c:pt>
                <c:pt idx="1690">
                  <c:v>2.6599999999999999E-6</c:v>
                </c:pt>
                <c:pt idx="1691">
                  <c:v>2.6649999999999999E-6</c:v>
                </c:pt>
                <c:pt idx="1692">
                  <c:v>2.6699999999999998E-6</c:v>
                </c:pt>
                <c:pt idx="1693">
                  <c:v>2.6749999999999998E-6</c:v>
                </c:pt>
                <c:pt idx="1694">
                  <c:v>2.6800000000000002E-6</c:v>
                </c:pt>
                <c:pt idx="1695">
                  <c:v>2.6850000000000001E-6</c:v>
                </c:pt>
                <c:pt idx="1696">
                  <c:v>2.6900000000000001E-6</c:v>
                </c:pt>
                <c:pt idx="1697">
                  <c:v>2.695E-6</c:v>
                </c:pt>
                <c:pt idx="1698">
                  <c:v>2.7E-6</c:v>
                </c:pt>
                <c:pt idx="1699">
                  <c:v>2.7049999999999999E-6</c:v>
                </c:pt>
                <c:pt idx="1700">
                  <c:v>2.7099999999999999E-6</c:v>
                </c:pt>
                <c:pt idx="1701">
                  <c:v>2.7149999999999998E-6</c:v>
                </c:pt>
                <c:pt idx="1702">
                  <c:v>2.7199999999999998E-6</c:v>
                </c:pt>
                <c:pt idx="1703">
                  <c:v>2.7250000000000002E-6</c:v>
                </c:pt>
                <c:pt idx="1704">
                  <c:v>2.7300000000000001E-6</c:v>
                </c:pt>
                <c:pt idx="1705">
                  <c:v>2.7350000000000001E-6</c:v>
                </c:pt>
                <c:pt idx="1706">
                  <c:v>2.74E-6</c:v>
                </c:pt>
                <c:pt idx="1707">
                  <c:v>2.745E-6</c:v>
                </c:pt>
                <c:pt idx="1708">
                  <c:v>2.7499999999999999E-6</c:v>
                </c:pt>
                <c:pt idx="1709">
                  <c:v>2.7549999999999999E-6</c:v>
                </c:pt>
                <c:pt idx="1710">
                  <c:v>2.7599999999999998E-6</c:v>
                </c:pt>
                <c:pt idx="1711">
                  <c:v>2.7650000000000002E-6</c:v>
                </c:pt>
                <c:pt idx="1712">
                  <c:v>2.7700000000000002E-6</c:v>
                </c:pt>
                <c:pt idx="1713">
                  <c:v>2.7750000000000001E-6</c:v>
                </c:pt>
                <c:pt idx="1714">
                  <c:v>2.7800000000000001E-6</c:v>
                </c:pt>
                <c:pt idx="1715">
                  <c:v>2.785E-6</c:v>
                </c:pt>
                <c:pt idx="1716">
                  <c:v>2.79E-6</c:v>
                </c:pt>
                <c:pt idx="1717">
                  <c:v>2.7949999999999999E-6</c:v>
                </c:pt>
                <c:pt idx="1718">
                  <c:v>2.7999999999999999E-6</c:v>
                </c:pt>
                <c:pt idx="1719">
                  <c:v>2.8049999999999998E-6</c:v>
                </c:pt>
                <c:pt idx="1720">
                  <c:v>2.8100000000000002E-6</c:v>
                </c:pt>
                <c:pt idx="1721">
                  <c:v>2.8150000000000002E-6</c:v>
                </c:pt>
                <c:pt idx="1722">
                  <c:v>2.8200000000000001E-6</c:v>
                </c:pt>
                <c:pt idx="1723">
                  <c:v>2.8250000000000001E-6</c:v>
                </c:pt>
                <c:pt idx="1724">
                  <c:v>2.83E-6</c:v>
                </c:pt>
                <c:pt idx="1725">
                  <c:v>2.835E-6</c:v>
                </c:pt>
                <c:pt idx="1726">
                  <c:v>2.8399999999999999E-6</c:v>
                </c:pt>
                <c:pt idx="1727">
                  <c:v>2.8449999999999999E-6</c:v>
                </c:pt>
                <c:pt idx="1728">
                  <c:v>2.8499999999999998E-6</c:v>
                </c:pt>
                <c:pt idx="1729">
                  <c:v>2.8550000000000002E-6</c:v>
                </c:pt>
                <c:pt idx="1730">
                  <c:v>2.8600000000000001E-6</c:v>
                </c:pt>
                <c:pt idx="1731">
                  <c:v>2.8650000000000001E-6</c:v>
                </c:pt>
                <c:pt idx="1732">
                  <c:v>2.8700000000000001E-6</c:v>
                </c:pt>
                <c:pt idx="1733">
                  <c:v>2.875E-6</c:v>
                </c:pt>
                <c:pt idx="1734">
                  <c:v>2.88E-6</c:v>
                </c:pt>
                <c:pt idx="1735">
                  <c:v>2.8849999999999999E-6</c:v>
                </c:pt>
                <c:pt idx="1736">
                  <c:v>2.8899999999999999E-6</c:v>
                </c:pt>
                <c:pt idx="1737">
                  <c:v>2.8949999999999998E-6</c:v>
                </c:pt>
                <c:pt idx="1738">
                  <c:v>2.9000000000000002E-6</c:v>
                </c:pt>
                <c:pt idx="1739">
                  <c:v>2.9050000000000001E-6</c:v>
                </c:pt>
                <c:pt idx="1740">
                  <c:v>2.9100000000000001E-6</c:v>
                </c:pt>
                <c:pt idx="1741">
                  <c:v>2.915E-6</c:v>
                </c:pt>
                <c:pt idx="1742">
                  <c:v>2.92E-6</c:v>
                </c:pt>
                <c:pt idx="1743">
                  <c:v>2.9249999999999999E-6</c:v>
                </c:pt>
                <c:pt idx="1744">
                  <c:v>2.9299999999999999E-6</c:v>
                </c:pt>
                <c:pt idx="1745">
                  <c:v>2.9349999999999999E-6</c:v>
                </c:pt>
                <c:pt idx="1746">
                  <c:v>2.9399999999999998E-6</c:v>
                </c:pt>
                <c:pt idx="1747">
                  <c:v>2.9450000000000002E-6</c:v>
                </c:pt>
                <c:pt idx="1748">
                  <c:v>2.9500000000000001E-6</c:v>
                </c:pt>
                <c:pt idx="1749">
                  <c:v>2.9550000000000001E-6</c:v>
                </c:pt>
                <c:pt idx="1750">
                  <c:v>2.96E-6</c:v>
                </c:pt>
                <c:pt idx="1751">
                  <c:v>2.965E-6</c:v>
                </c:pt>
                <c:pt idx="1752">
                  <c:v>2.9699999999999999E-6</c:v>
                </c:pt>
                <c:pt idx="1753">
                  <c:v>2.9749999999999999E-6</c:v>
                </c:pt>
                <c:pt idx="1754">
                  <c:v>2.9799999999999998E-6</c:v>
                </c:pt>
                <c:pt idx="1755">
                  <c:v>2.9849999999999998E-6</c:v>
                </c:pt>
                <c:pt idx="1756">
                  <c:v>2.9900000000000002E-6</c:v>
                </c:pt>
                <c:pt idx="1757">
                  <c:v>2.9950000000000001E-6</c:v>
                </c:pt>
                <c:pt idx="1758">
                  <c:v>3.0000000000000001E-6</c:v>
                </c:pt>
                <c:pt idx="1759">
                  <c:v>3.005E-6</c:v>
                </c:pt>
                <c:pt idx="1760">
                  <c:v>3.01E-6</c:v>
                </c:pt>
                <c:pt idx="1761">
                  <c:v>3.0149999999999999E-6</c:v>
                </c:pt>
                <c:pt idx="1762">
                  <c:v>3.0199999999999999E-6</c:v>
                </c:pt>
                <c:pt idx="1763">
                  <c:v>3.0249999999999998E-6</c:v>
                </c:pt>
                <c:pt idx="1764">
                  <c:v>3.0299999999999998E-6</c:v>
                </c:pt>
                <c:pt idx="1765">
                  <c:v>3.0350000000000002E-6</c:v>
                </c:pt>
                <c:pt idx="1766">
                  <c:v>3.0400000000000001E-6</c:v>
                </c:pt>
                <c:pt idx="1767">
                  <c:v>3.0450000000000001E-6</c:v>
                </c:pt>
                <c:pt idx="1768">
                  <c:v>3.05E-6</c:v>
                </c:pt>
                <c:pt idx="1769">
                  <c:v>3.055E-6</c:v>
                </c:pt>
                <c:pt idx="1770">
                  <c:v>3.0599999999999999E-6</c:v>
                </c:pt>
                <c:pt idx="1771">
                  <c:v>3.0649999999999999E-6</c:v>
                </c:pt>
                <c:pt idx="1772">
                  <c:v>3.0699999999999998E-6</c:v>
                </c:pt>
                <c:pt idx="1773">
                  <c:v>3.0750000000000002E-6</c:v>
                </c:pt>
                <c:pt idx="1774">
                  <c:v>3.0800000000000002E-6</c:v>
                </c:pt>
                <c:pt idx="1775">
                  <c:v>3.0850000000000001E-6</c:v>
                </c:pt>
                <c:pt idx="1776">
                  <c:v>3.0900000000000001E-6</c:v>
                </c:pt>
                <c:pt idx="1777">
                  <c:v>3.095E-6</c:v>
                </c:pt>
                <c:pt idx="1778">
                  <c:v>3.1E-6</c:v>
                </c:pt>
                <c:pt idx="1779">
                  <c:v>3.1049999999999999E-6</c:v>
                </c:pt>
                <c:pt idx="1780">
                  <c:v>3.1099999999999999E-6</c:v>
                </c:pt>
                <c:pt idx="1781">
                  <c:v>3.1149999999999998E-6</c:v>
                </c:pt>
                <c:pt idx="1782">
                  <c:v>3.1200000000000002E-6</c:v>
                </c:pt>
                <c:pt idx="1783">
                  <c:v>3.1250000000000001E-6</c:v>
                </c:pt>
                <c:pt idx="1784">
                  <c:v>3.1300000000000001E-6</c:v>
                </c:pt>
                <c:pt idx="1785">
                  <c:v>3.1350000000000001E-6</c:v>
                </c:pt>
                <c:pt idx="1786">
                  <c:v>3.14E-6</c:v>
                </c:pt>
                <c:pt idx="1787">
                  <c:v>3.145E-6</c:v>
                </c:pt>
                <c:pt idx="1788">
                  <c:v>3.1499999999999999E-6</c:v>
                </c:pt>
                <c:pt idx="1789">
                  <c:v>3.1549999999999999E-6</c:v>
                </c:pt>
                <c:pt idx="1790">
                  <c:v>3.1599999999999998E-6</c:v>
                </c:pt>
                <c:pt idx="1791">
                  <c:v>3.1650000000000002E-6</c:v>
                </c:pt>
                <c:pt idx="1792">
                  <c:v>3.1700000000000001E-6</c:v>
                </c:pt>
                <c:pt idx="1793">
                  <c:v>3.1750000000000001E-6</c:v>
                </c:pt>
                <c:pt idx="1794">
                  <c:v>3.18E-6</c:v>
                </c:pt>
                <c:pt idx="1795">
                  <c:v>3.185E-6</c:v>
                </c:pt>
                <c:pt idx="1796">
                  <c:v>3.19E-6</c:v>
                </c:pt>
                <c:pt idx="1797">
                  <c:v>3.1949999999999999E-6</c:v>
                </c:pt>
                <c:pt idx="1798">
                  <c:v>3.1999999999999999E-6</c:v>
                </c:pt>
                <c:pt idx="1799">
                  <c:v>3.2049999999999998E-6</c:v>
                </c:pt>
                <c:pt idx="1800">
                  <c:v>3.2100000000000002E-6</c:v>
                </c:pt>
                <c:pt idx="1801">
                  <c:v>3.2150000000000001E-6</c:v>
                </c:pt>
                <c:pt idx="1802">
                  <c:v>3.2200000000000001E-6</c:v>
                </c:pt>
                <c:pt idx="1803">
                  <c:v>3.225E-6</c:v>
                </c:pt>
                <c:pt idx="1804">
                  <c:v>3.23E-6</c:v>
                </c:pt>
                <c:pt idx="1805">
                  <c:v>3.2349999999999999E-6</c:v>
                </c:pt>
                <c:pt idx="1806">
                  <c:v>3.2399999999999999E-6</c:v>
                </c:pt>
                <c:pt idx="1807">
                  <c:v>3.2449999999999998E-6</c:v>
                </c:pt>
                <c:pt idx="1808">
                  <c:v>3.2499999999999998E-6</c:v>
                </c:pt>
                <c:pt idx="1809">
                  <c:v>3.2550000000000002E-6</c:v>
                </c:pt>
                <c:pt idx="1810">
                  <c:v>3.2600000000000001E-6</c:v>
                </c:pt>
                <c:pt idx="1811">
                  <c:v>3.2650000000000001E-6</c:v>
                </c:pt>
                <c:pt idx="1812">
                  <c:v>3.27E-6</c:v>
                </c:pt>
                <c:pt idx="1813">
                  <c:v>3.275E-6</c:v>
                </c:pt>
                <c:pt idx="1814">
                  <c:v>3.2799999999999999E-6</c:v>
                </c:pt>
                <c:pt idx="1815">
                  <c:v>3.2849999999999999E-6</c:v>
                </c:pt>
                <c:pt idx="1816">
                  <c:v>3.2899999999999998E-6</c:v>
                </c:pt>
                <c:pt idx="1817">
                  <c:v>3.2949999999999998E-6</c:v>
                </c:pt>
                <c:pt idx="1818">
                  <c:v>3.3000000000000002E-6</c:v>
                </c:pt>
                <c:pt idx="1819">
                  <c:v>3.3050000000000001E-6</c:v>
                </c:pt>
                <c:pt idx="1820">
                  <c:v>3.3100000000000001E-6</c:v>
                </c:pt>
                <c:pt idx="1821">
                  <c:v>3.315E-6</c:v>
                </c:pt>
                <c:pt idx="1822">
                  <c:v>3.32E-6</c:v>
                </c:pt>
                <c:pt idx="1823">
                  <c:v>3.3249999999999999E-6</c:v>
                </c:pt>
                <c:pt idx="1824">
                  <c:v>3.3299999999999999E-6</c:v>
                </c:pt>
                <c:pt idx="1825">
                  <c:v>3.3349999999999998E-6</c:v>
                </c:pt>
                <c:pt idx="1826">
                  <c:v>3.3400000000000002E-6</c:v>
                </c:pt>
                <c:pt idx="1827">
                  <c:v>3.3450000000000002E-6</c:v>
                </c:pt>
                <c:pt idx="1828">
                  <c:v>3.3500000000000001E-6</c:v>
                </c:pt>
                <c:pt idx="1829">
                  <c:v>3.3550000000000001E-6</c:v>
                </c:pt>
                <c:pt idx="1830">
                  <c:v>3.36E-6</c:v>
                </c:pt>
                <c:pt idx="1831">
                  <c:v>3.365E-6</c:v>
                </c:pt>
                <c:pt idx="1832">
                  <c:v>3.3699999999999999E-6</c:v>
                </c:pt>
                <c:pt idx="1833">
                  <c:v>3.3749999999999999E-6</c:v>
                </c:pt>
                <c:pt idx="1834">
                  <c:v>3.3799999999999998E-6</c:v>
                </c:pt>
                <c:pt idx="1835">
                  <c:v>3.3850000000000002E-6</c:v>
                </c:pt>
                <c:pt idx="1836">
                  <c:v>3.3900000000000002E-6</c:v>
                </c:pt>
                <c:pt idx="1837">
                  <c:v>3.3950000000000001E-6</c:v>
                </c:pt>
                <c:pt idx="1838">
                  <c:v>3.4000000000000001E-6</c:v>
                </c:pt>
                <c:pt idx="1839">
                  <c:v>3.405E-6</c:v>
                </c:pt>
                <c:pt idx="1840">
                  <c:v>3.41E-6</c:v>
                </c:pt>
                <c:pt idx="1841">
                  <c:v>3.4149999999999999E-6</c:v>
                </c:pt>
                <c:pt idx="1842">
                  <c:v>3.4199999999999999E-6</c:v>
                </c:pt>
                <c:pt idx="1843">
                  <c:v>3.4249999999999998E-6</c:v>
                </c:pt>
                <c:pt idx="1844">
                  <c:v>3.4300000000000002E-6</c:v>
                </c:pt>
                <c:pt idx="1845">
                  <c:v>3.4350000000000001E-6</c:v>
                </c:pt>
                <c:pt idx="1846">
                  <c:v>3.4400000000000001E-6</c:v>
                </c:pt>
                <c:pt idx="1847">
                  <c:v>3.4450000000000001E-6</c:v>
                </c:pt>
                <c:pt idx="1848">
                  <c:v>3.45E-6</c:v>
                </c:pt>
                <c:pt idx="1849">
                  <c:v>3.455E-6</c:v>
                </c:pt>
                <c:pt idx="1850">
                  <c:v>3.4599999999999999E-6</c:v>
                </c:pt>
                <c:pt idx="1851">
                  <c:v>3.4649999999999999E-6</c:v>
                </c:pt>
                <c:pt idx="1852">
                  <c:v>3.4699999999999998E-6</c:v>
                </c:pt>
                <c:pt idx="1853">
                  <c:v>3.4750000000000002E-6</c:v>
                </c:pt>
                <c:pt idx="1854">
                  <c:v>3.4800000000000001E-6</c:v>
                </c:pt>
                <c:pt idx="1855">
                  <c:v>3.4850000000000001E-6</c:v>
                </c:pt>
                <c:pt idx="1856">
                  <c:v>3.49E-6</c:v>
                </c:pt>
                <c:pt idx="1857">
                  <c:v>3.495E-6</c:v>
                </c:pt>
                <c:pt idx="1858">
                  <c:v>3.4999999999999999E-6</c:v>
                </c:pt>
                <c:pt idx="1859">
                  <c:v>3.5049999999999999E-6</c:v>
                </c:pt>
                <c:pt idx="1860">
                  <c:v>3.5099999999999999E-6</c:v>
                </c:pt>
                <c:pt idx="1861">
                  <c:v>3.5149999999999998E-6</c:v>
                </c:pt>
                <c:pt idx="1862">
                  <c:v>3.5200000000000002E-6</c:v>
                </c:pt>
                <c:pt idx="1863">
                  <c:v>3.5250000000000001E-6</c:v>
                </c:pt>
                <c:pt idx="1864">
                  <c:v>3.5300000000000001E-6</c:v>
                </c:pt>
                <c:pt idx="1865">
                  <c:v>3.535E-6</c:v>
                </c:pt>
                <c:pt idx="1866">
                  <c:v>3.54E-6</c:v>
                </c:pt>
                <c:pt idx="1867">
                  <c:v>3.5449999999999999E-6</c:v>
                </c:pt>
                <c:pt idx="1868">
                  <c:v>3.5499999999999999E-6</c:v>
                </c:pt>
                <c:pt idx="1869">
                  <c:v>3.5549999999999998E-6</c:v>
                </c:pt>
                <c:pt idx="1870">
                  <c:v>3.5599999999999998E-6</c:v>
                </c:pt>
                <c:pt idx="1871">
                  <c:v>3.5650000000000002E-6</c:v>
                </c:pt>
                <c:pt idx="1872">
                  <c:v>3.5700000000000001E-6</c:v>
                </c:pt>
                <c:pt idx="1873">
                  <c:v>3.5750000000000001E-6</c:v>
                </c:pt>
                <c:pt idx="1874">
                  <c:v>3.58E-6</c:v>
                </c:pt>
                <c:pt idx="1875">
                  <c:v>3.585E-6</c:v>
                </c:pt>
                <c:pt idx="1876">
                  <c:v>3.5899999999999999E-6</c:v>
                </c:pt>
                <c:pt idx="1877">
                  <c:v>3.5949999999999999E-6</c:v>
                </c:pt>
                <c:pt idx="1878">
                  <c:v>3.5999999999999998E-6</c:v>
                </c:pt>
                <c:pt idx="1879">
                  <c:v>3.6049999999999998E-6</c:v>
                </c:pt>
                <c:pt idx="1880">
                  <c:v>3.6100000000000002E-6</c:v>
                </c:pt>
                <c:pt idx="1881">
                  <c:v>3.6150000000000001E-6</c:v>
                </c:pt>
                <c:pt idx="1882">
                  <c:v>3.6200000000000001E-6</c:v>
                </c:pt>
                <c:pt idx="1883">
                  <c:v>3.625E-6</c:v>
                </c:pt>
                <c:pt idx="1884">
                  <c:v>3.63E-6</c:v>
                </c:pt>
                <c:pt idx="1885">
                  <c:v>3.6349999999999999E-6</c:v>
                </c:pt>
                <c:pt idx="1886">
                  <c:v>3.6399999999999999E-6</c:v>
                </c:pt>
                <c:pt idx="1887">
                  <c:v>3.6449999999999998E-6</c:v>
                </c:pt>
                <c:pt idx="1888">
                  <c:v>3.6500000000000002E-6</c:v>
                </c:pt>
                <c:pt idx="1889">
                  <c:v>3.6550000000000002E-6</c:v>
                </c:pt>
                <c:pt idx="1890">
                  <c:v>3.6600000000000001E-6</c:v>
                </c:pt>
                <c:pt idx="1891">
                  <c:v>3.6650000000000001E-6</c:v>
                </c:pt>
                <c:pt idx="1892">
                  <c:v>3.67E-6</c:v>
                </c:pt>
                <c:pt idx="1893">
                  <c:v>3.675E-6</c:v>
                </c:pt>
                <c:pt idx="1894">
                  <c:v>3.6799999999999999E-6</c:v>
                </c:pt>
                <c:pt idx="1895">
                  <c:v>3.6849999999999999E-6</c:v>
                </c:pt>
                <c:pt idx="1896">
                  <c:v>3.6899999999999998E-6</c:v>
                </c:pt>
                <c:pt idx="1897">
                  <c:v>3.6950000000000002E-6</c:v>
                </c:pt>
                <c:pt idx="1898">
                  <c:v>3.7000000000000002E-6</c:v>
                </c:pt>
                <c:pt idx="1899">
                  <c:v>3.7050000000000001E-6</c:v>
                </c:pt>
                <c:pt idx="1900">
                  <c:v>3.7100000000000001E-6</c:v>
                </c:pt>
                <c:pt idx="1901">
                  <c:v>3.715E-6</c:v>
                </c:pt>
                <c:pt idx="1902">
                  <c:v>3.72E-6</c:v>
                </c:pt>
                <c:pt idx="1903">
                  <c:v>3.7249999999999999E-6</c:v>
                </c:pt>
                <c:pt idx="1904">
                  <c:v>3.7299999999999999E-6</c:v>
                </c:pt>
                <c:pt idx="1905">
                  <c:v>3.7349999999999998E-6</c:v>
                </c:pt>
                <c:pt idx="1906">
                  <c:v>3.7400000000000002E-6</c:v>
                </c:pt>
                <c:pt idx="1907">
                  <c:v>3.7450000000000001E-6</c:v>
                </c:pt>
                <c:pt idx="1908">
                  <c:v>3.7500000000000001E-6</c:v>
                </c:pt>
                <c:pt idx="1909">
                  <c:v>3.755E-6</c:v>
                </c:pt>
                <c:pt idx="1910">
                  <c:v>3.76E-6</c:v>
                </c:pt>
                <c:pt idx="1911">
                  <c:v>3.765E-6</c:v>
                </c:pt>
                <c:pt idx="1912">
                  <c:v>3.7699999999999999E-6</c:v>
                </c:pt>
                <c:pt idx="1913">
                  <c:v>3.7749999999999999E-6</c:v>
                </c:pt>
                <c:pt idx="1914">
                  <c:v>3.7799999999999998E-6</c:v>
                </c:pt>
                <c:pt idx="1915">
                  <c:v>3.7850000000000002E-6</c:v>
                </c:pt>
                <c:pt idx="1916">
                  <c:v>3.7900000000000001E-6</c:v>
                </c:pt>
                <c:pt idx="1917">
                  <c:v>3.7950000000000001E-6</c:v>
                </c:pt>
                <c:pt idx="1918">
                  <c:v>3.8E-6</c:v>
                </c:pt>
                <c:pt idx="1919">
                  <c:v>3.805E-6</c:v>
                </c:pt>
                <c:pt idx="1920">
                  <c:v>3.8099999999999999E-6</c:v>
                </c:pt>
                <c:pt idx="1921">
                  <c:v>3.8149999999999999E-6</c:v>
                </c:pt>
                <c:pt idx="1922">
                  <c:v>3.8199999999999998E-6</c:v>
                </c:pt>
                <c:pt idx="1923">
                  <c:v>3.8249999999999998E-6</c:v>
                </c:pt>
                <c:pt idx="1924">
                  <c:v>3.8299999999999998E-6</c:v>
                </c:pt>
                <c:pt idx="1925">
                  <c:v>3.8349999999999997E-6</c:v>
                </c:pt>
                <c:pt idx="1926">
                  <c:v>3.8399999999999997E-6</c:v>
                </c:pt>
                <c:pt idx="1927">
                  <c:v>3.8449999999999996E-6</c:v>
                </c:pt>
                <c:pt idx="1928">
                  <c:v>3.8500000000000004E-6</c:v>
                </c:pt>
                <c:pt idx="1929">
                  <c:v>3.8550000000000004E-6</c:v>
                </c:pt>
                <c:pt idx="1930">
                  <c:v>3.8600000000000003E-6</c:v>
                </c:pt>
                <c:pt idx="1931">
                  <c:v>3.8650000000000003E-6</c:v>
                </c:pt>
                <c:pt idx="1932">
                  <c:v>3.8700000000000002E-6</c:v>
                </c:pt>
                <c:pt idx="1933">
                  <c:v>3.8750000000000002E-6</c:v>
                </c:pt>
                <c:pt idx="1934">
                  <c:v>3.8800000000000001E-6</c:v>
                </c:pt>
                <c:pt idx="1935">
                  <c:v>3.8850000000000001E-6</c:v>
                </c:pt>
                <c:pt idx="1936">
                  <c:v>3.89E-6</c:v>
                </c:pt>
                <c:pt idx="1937">
                  <c:v>3.895E-6</c:v>
                </c:pt>
                <c:pt idx="1938">
                  <c:v>3.8999999999999999E-6</c:v>
                </c:pt>
                <c:pt idx="1939">
                  <c:v>3.9049999999999999E-6</c:v>
                </c:pt>
                <c:pt idx="1940">
                  <c:v>3.9099999999999998E-6</c:v>
                </c:pt>
                <c:pt idx="1941">
                  <c:v>3.9149999999999998E-6</c:v>
                </c:pt>
                <c:pt idx="1942">
                  <c:v>3.9199999999999997E-6</c:v>
                </c:pt>
                <c:pt idx="1943">
                  <c:v>3.9249999999999997E-6</c:v>
                </c:pt>
                <c:pt idx="1944">
                  <c:v>3.9299999999999996E-6</c:v>
                </c:pt>
                <c:pt idx="1945">
                  <c:v>3.9349999999999996E-6</c:v>
                </c:pt>
                <c:pt idx="1946">
                  <c:v>3.9400000000000004E-6</c:v>
                </c:pt>
                <c:pt idx="1947">
                  <c:v>3.9450000000000003E-6</c:v>
                </c:pt>
                <c:pt idx="1948">
                  <c:v>3.9500000000000003E-6</c:v>
                </c:pt>
                <c:pt idx="1949">
                  <c:v>3.9550000000000002E-6</c:v>
                </c:pt>
                <c:pt idx="1950">
                  <c:v>3.9600000000000002E-6</c:v>
                </c:pt>
                <c:pt idx="1951">
                  <c:v>3.9650000000000002E-6</c:v>
                </c:pt>
                <c:pt idx="1952">
                  <c:v>3.9700000000000001E-6</c:v>
                </c:pt>
                <c:pt idx="1953">
                  <c:v>3.9750000000000001E-6</c:v>
                </c:pt>
                <c:pt idx="1954">
                  <c:v>3.98E-6</c:v>
                </c:pt>
                <c:pt idx="1955">
                  <c:v>3.985E-6</c:v>
                </c:pt>
                <c:pt idx="1956">
                  <c:v>3.9899999999999999E-6</c:v>
                </c:pt>
                <c:pt idx="1957">
                  <c:v>3.9949999999999999E-6</c:v>
                </c:pt>
                <c:pt idx="1958">
                  <c:v>3.9999999999999998E-6</c:v>
                </c:pt>
                <c:pt idx="1959">
                  <c:v>4.0049999999999998E-6</c:v>
                </c:pt>
                <c:pt idx="1960">
                  <c:v>4.0099999999999997E-6</c:v>
                </c:pt>
                <c:pt idx="1961">
                  <c:v>4.0149999999999997E-6</c:v>
                </c:pt>
                <c:pt idx="1962">
                  <c:v>4.0199999999999996E-6</c:v>
                </c:pt>
                <c:pt idx="1963">
                  <c:v>4.0249999999999996E-6</c:v>
                </c:pt>
                <c:pt idx="1964">
                  <c:v>4.0300000000000004E-6</c:v>
                </c:pt>
                <c:pt idx="1965">
                  <c:v>4.0350000000000003E-6</c:v>
                </c:pt>
                <c:pt idx="1966">
                  <c:v>4.0400000000000003E-6</c:v>
                </c:pt>
                <c:pt idx="1967">
                  <c:v>4.0450000000000002E-6</c:v>
                </c:pt>
                <c:pt idx="1968">
                  <c:v>4.0500000000000002E-6</c:v>
                </c:pt>
                <c:pt idx="1969">
                  <c:v>4.0550000000000001E-6</c:v>
                </c:pt>
                <c:pt idx="1970">
                  <c:v>4.0600000000000001E-6</c:v>
                </c:pt>
                <c:pt idx="1971">
                  <c:v>4.065E-6</c:v>
                </c:pt>
                <c:pt idx="1972">
                  <c:v>4.07E-6</c:v>
                </c:pt>
                <c:pt idx="1973">
                  <c:v>4.0749999999999999E-6</c:v>
                </c:pt>
                <c:pt idx="1974">
                  <c:v>4.0799999999999999E-6</c:v>
                </c:pt>
                <c:pt idx="1975">
                  <c:v>4.0849999999999999E-6</c:v>
                </c:pt>
                <c:pt idx="1976">
                  <c:v>4.0899999999999998E-6</c:v>
                </c:pt>
                <c:pt idx="1977">
                  <c:v>4.0949999999999998E-6</c:v>
                </c:pt>
                <c:pt idx="1978">
                  <c:v>4.0999999999999997E-6</c:v>
                </c:pt>
                <c:pt idx="1979">
                  <c:v>4.1049999999999997E-6</c:v>
                </c:pt>
                <c:pt idx="1980">
                  <c:v>4.1099999999999996E-6</c:v>
                </c:pt>
                <c:pt idx="1981">
                  <c:v>4.1150000000000004E-6</c:v>
                </c:pt>
                <c:pt idx="1982">
                  <c:v>4.1200000000000004E-6</c:v>
                </c:pt>
                <c:pt idx="1983">
                  <c:v>4.1250000000000003E-6</c:v>
                </c:pt>
                <c:pt idx="1984">
                  <c:v>4.1300000000000003E-6</c:v>
                </c:pt>
                <c:pt idx="1985">
                  <c:v>4.1350000000000002E-6</c:v>
                </c:pt>
                <c:pt idx="1986">
                  <c:v>4.1400000000000002E-6</c:v>
                </c:pt>
                <c:pt idx="1987">
                  <c:v>4.1450000000000001E-6</c:v>
                </c:pt>
                <c:pt idx="1988">
                  <c:v>4.1500000000000001E-6</c:v>
                </c:pt>
                <c:pt idx="1989">
                  <c:v>4.155E-6</c:v>
                </c:pt>
                <c:pt idx="1990">
                  <c:v>4.16E-6</c:v>
                </c:pt>
                <c:pt idx="1991">
                  <c:v>4.1649999999999999E-6</c:v>
                </c:pt>
                <c:pt idx="1992">
                  <c:v>4.1699999999999999E-6</c:v>
                </c:pt>
                <c:pt idx="1993">
                  <c:v>4.1749999999999998E-6</c:v>
                </c:pt>
                <c:pt idx="1994">
                  <c:v>4.1799999999999998E-6</c:v>
                </c:pt>
                <c:pt idx="1995">
                  <c:v>4.1849999999999997E-6</c:v>
                </c:pt>
                <c:pt idx="1996">
                  <c:v>4.1899999999999997E-6</c:v>
                </c:pt>
                <c:pt idx="1997">
                  <c:v>4.1949999999999996E-6</c:v>
                </c:pt>
                <c:pt idx="1998">
                  <c:v>4.1999999999999996E-6</c:v>
                </c:pt>
              </c:numCache>
            </c:numRef>
          </c:xVal>
          <c:yVal>
            <c:numRef>
              <c:f>'Noise Floor'!$B$3:$B$2002</c:f>
              <c:numCache>
                <c:formatCode>0.00E+00</c:formatCode>
                <c:ptCount val="2000"/>
                <c:pt idx="0">
                  <c:v>-7.52512569E-4</c:v>
                </c:pt>
                <c:pt idx="1">
                  <c:v>-6.5201005800000005E-4</c:v>
                </c:pt>
                <c:pt idx="2">
                  <c:v>-1.7575376840000001E-3</c:v>
                </c:pt>
                <c:pt idx="3">
                  <c:v>-1.958542707E-3</c:v>
                </c:pt>
                <c:pt idx="4">
                  <c:v>-1.958542707E-3</c:v>
                </c:pt>
                <c:pt idx="5">
                  <c:v>-2.2600502419999999E-3</c:v>
                </c:pt>
                <c:pt idx="6">
                  <c:v>-2.6620602880000001E-3</c:v>
                </c:pt>
                <c:pt idx="7">
                  <c:v>-1.556532661E-3</c:v>
                </c:pt>
                <c:pt idx="8">
                  <c:v>-2.2600502419999999E-3</c:v>
                </c:pt>
                <c:pt idx="9">
                  <c:v>-1.4560301499999999E-3</c:v>
                </c:pt>
                <c:pt idx="10">
                  <c:v>-1.556532661E-3</c:v>
                </c:pt>
                <c:pt idx="11">
                  <c:v>-2.1595477300000001E-3</c:v>
                </c:pt>
                <c:pt idx="12">
                  <c:v>-1.0540201039999999E-3</c:v>
                </c:pt>
                <c:pt idx="13">
                  <c:v>-1.3555276380000001E-3</c:v>
                </c:pt>
                <c:pt idx="14">
                  <c:v>-1.0540201039999999E-3</c:v>
                </c:pt>
                <c:pt idx="15">
                  <c:v>-1.0540201039999999E-3</c:v>
                </c:pt>
                <c:pt idx="16">
                  <c:v>-1.8580401959999999E-3</c:v>
                </c:pt>
                <c:pt idx="17">
                  <c:v>-1.8580401959999999E-3</c:v>
                </c:pt>
                <c:pt idx="18">
                  <c:v>-1.958542707E-3</c:v>
                </c:pt>
                <c:pt idx="19">
                  <c:v>-2.3605527530000002E-3</c:v>
                </c:pt>
                <c:pt idx="20">
                  <c:v>-1.958542707E-3</c:v>
                </c:pt>
                <c:pt idx="21">
                  <c:v>-2.1595477300000001E-3</c:v>
                </c:pt>
                <c:pt idx="22">
                  <c:v>-2.2600502419999999E-3</c:v>
                </c:pt>
                <c:pt idx="23">
                  <c:v>-1.556532661E-3</c:v>
                </c:pt>
                <c:pt idx="24">
                  <c:v>-6.5201005800000005E-4</c:v>
                </c:pt>
                <c:pt idx="25">
                  <c:v>5.1507522999999997E-5</c:v>
                </c:pt>
                <c:pt idx="26">
                  <c:v>-2.5000001200000001E-4</c:v>
                </c:pt>
                <c:pt idx="27">
                  <c:v>-2.5000001200000001E-4</c:v>
                </c:pt>
                <c:pt idx="28">
                  <c:v>-2.5000001200000001E-4</c:v>
                </c:pt>
                <c:pt idx="29">
                  <c:v>5.1507522999999997E-5</c:v>
                </c:pt>
                <c:pt idx="30">
                  <c:v>-6.5201005800000005E-4</c:v>
                </c:pt>
                <c:pt idx="31">
                  <c:v>-6.5201005800000005E-4</c:v>
                </c:pt>
                <c:pt idx="32">
                  <c:v>-8.5301508100000005E-4</c:v>
                </c:pt>
                <c:pt idx="33">
                  <c:v>-1.4560301499999999E-3</c:v>
                </c:pt>
                <c:pt idx="34">
                  <c:v>-1.958542707E-3</c:v>
                </c:pt>
                <c:pt idx="35">
                  <c:v>-1.7575376840000001E-3</c:v>
                </c:pt>
                <c:pt idx="36">
                  <c:v>-2.2600502419999999E-3</c:v>
                </c:pt>
                <c:pt idx="37">
                  <c:v>-1.3555276380000001E-3</c:v>
                </c:pt>
                <c:pt idx="38">
                  <c:v>-9.5351759199999999E-4</c:v>
                </c:pt>
                <c:pt idx="39">
                  <c:v>-1.556532661E-3</c:v>
                </c:pt>
                <c:pt idx="40">
                  <c:v>-1.8580401959999999E-3</c:v>
                </c:pt>
                <c:pt idx="41">
                  <c:v>-1.4560301499999999E-3</c:v>
                </c:pt>
                <c:pt idx="42">
                  <c:v>-2.3605527530000002E-3</c:v>
                </c:pt>
                <c:pt idx="43">
                  <c:v>-2.2600502419999999E-3</c:v>
                </c:pt>
                <c:pt idx="44">
                  <c:v>-2.461055265E-3</c:v>
                </c:pt>
                <c:pt idx="45">
                  <c:v>-3.0640703329999999E-3</c:v>
                </c:pt>
                <c:pt idx="46">
                  <c:v>-2.7625627989999999E-3</c:v>
                </c:pt>
                <c:pt idx="47">
                  <c:v>-2.7625627989999999E-3</c:v>
                </c:pt>
                <c:pt idx="48">
                  <c:v>-3.767587914E-3</c:v>
                </c:pt>
                <c:pt idx="49">
                  <c:v>-4.2701004710000001E-3</c:v>
                </c:pt>
                <c:pt idx="50">
                  <c:v>-4.5716080060000004E-3</c:v>
                </c:pt>
                <c:pt idx="51">
                  <c:v>-3.8680904249999998E-3</c:v>
                </c:pt>
                <c:pt idx="52">
                  <c:v>-3.4660803790000001E-3</c:v>
                </c:pt>
                <c:pt idx="53">
                  <c:v>-2.7625627989999999E-3</c:v>
                </c:pt>
                <c:pt idx="54">
                  <c:v>-2.3605527530000002E-3</c:v>
                </c:pt>
                <c:pt idx="55">
                  <c:v>-2.7625627989999999E-3</c:v>
                </c:pt>
                <c:pt idx="56">
                  <c:v>-1.8580401959999999E-3</c:v>
                </c:pt>
                <c:pt idx="57">
                  <c:v>-6.5201005800000005E-4</c:v>
                </c:pt>
                <c:pt idx="58">
                  <c:v>-6.5201005800000005E-4</c:v>
                </c:pt>
                <c:pt idx="59">
                  <c:v>1.52010034E-4</c:v>
                </c:pt>
                <c:pt idx="60">
                  <c:v>-6.5201005800000005E-4</c:v>
                </c:pt>
                <c:pt idx="61">
                  <c:v>-2.5000001200000001E-4</c:v>
                </c:pt>
                <c:pt idx="62">
                  <c:v>-2.5000001200000001E-4</c:v>
                </c:pt>
                <c:pt idx="63">
                  <c:v>-1.0540201039999999E-3</c:v>
                </c:pt>
                <c:pt idx="64">
                  <c:v>-2.5000001200000001E-4</c:v>
                </c:pt>
                <c:pt idx="65">
                  <c:v>5.5402008000000002E-4</c:v>
                </c:pt>
                <c:pt idx="66">
                  <c:v>5.5402008000000002E-4</c:v>
                </c:pt>
                <c:pt idx="67">
                  <c:v>6.5452259199999996E-4</c:v>
                </c:pt>
                <c:pt idx="68">
                  <c:v>9.56030126E-4</c:v>
                </c:pt>
                <c:pt idx="69">
                  <c:v>9.56030126E-4</c:v>
                </c:pt>
                <c:pt idx="70">
                  <c:v>1.2575376599999999E-3</c:v>
                </c:pt>
                <c:pt idx="71">
                  <c:v>1.358040172E-3</c:v>
                </c:pt>
                <c:pt idx="72">
                  <c:v>5.5402008000000002E-4</c:v>
                </c:pt>
                <c:pt idx="73">
                  <c:v>9.56030126E-4</c:v>
                </c:pt>
                <c:pt idx="74">
                  <c:v>5.5402008000000002E-4</c:v>
                </c:pt>
                <c:pt idx="75">
                  <c:v>6.5452259099999996E-4</c:v>
                </c:pt>
                <c:pt idx="76">
                  <c:v>-2.5000001200000001E-4</c:v>
                </c:pt>
                <c:pt idx="77">
                  <c:v>5.1507522999999997E-5</c:v>
                </c:pt>
                <c:pt idx="78">
                  <c:v>-1.4560301499999999E-3</c:v>
                </c:pt>
                <c:pt idx="79">
                  <c:v>-1.4560301499999999E-3</c:v>
                </c:pt>
                <c:pt idx="80">
                  <c:v>-1.4560301499999999E-3</c:v>
                </c:pt>
                <c:pt idx="81">
                  <c:v>-1.657035173E-3</c:v>
                </c:pt>
                <c:pt idx="82">
                  <c:v>-2.2600502419999999E-3</c:v>
                </c:pt>
                <c:pt idx="83">
                  <c:v>-2.2600502419999999E-3</c:v>
                </c:pt>
                <c:pt idx="84">
                  <c:v>-3.4660803790000001E-3</c:v>
                </c:pt>
                <c:pt idx="85">
                  <c:v>-1.8580401959999999E-3</c:v>
                </c:pt>
                <c:pt idx="86">
                  <c:v>-2.963567822E-3</c:v>
                </c:pt>
                <c:pt idx="87">
                  <c:v>-1.958542707E-3</c:v>
                </c:pt>
                <c:pt idx="88">
                  <c:v>-6.5201005800000005E-4</c:v>
                </c:pt>
                <c:pt idx="89">
                  <c:v>-1.0540201039999999E-3</c:v>
                </c:pt>
                <c:pt idx="90">
                  <c:v>-1.8580401959999999E-3</c:v>
                </c:pt>
                <c:pt idx="91">
                  <c:v>-7.52512569E-4</c:v>
                </c:pt>
                <c:pt idx="92">
                  <c:v>-1.4560301499999999E-3</c:v>
                </c:pt>
                <c:pt idx="93">
                  <c:v>-3.5050252300000001E-4</c:v>
                </c:pt>
                <c:pt idx="94">
                  <c:v>-7.52512569E-4</c:v>
                </c:pt>
                <c:pt idx="95">
                  <c:v>-6.5201005800000005E-4</c:v>
                </c:pt>
                <c:pt idx="96">
                  <c:v>-6.5201005800000005E-4</c:v>
                </c:pt>
                <c:pt idx="97">
                  <c:v>-7.52512569E-4</c:v>
                </c:pt>
                <c:pt idx="98">
                  <c:v>-1.556532661E-3</c:v>
                </c:pt>
                <c:pt idx="99">
                  <c:v>-6.5201005800000005E-4</c:v>
                </c:pt>
                <c:pt idx="100">
                  <c:v>-7.52512569E-4</c:v>
                </c:pt>
                <c:pt idx="101">
                  <c:v>-2.5000001200000001E-4</c:v>
                </c:pt>
                <c:pt idx="102">
                  <c:v>-1.4560301499999999E-3</c:v>
                </c:pt>
                <c:pt idx="103">
                  <c:v>-6.5201005800000005E-4</c:v>
                </c:pt>
                <c:pt idx="104">
                  <c:v>5.5402008000000002E-4</c:v>
                </c:pt>
                <c:pt idx="105">
                  <c:v>-4.5100503500000001E-4</c:v>
                </c:pt>
                <c:pt idx="106">
                  <c:v>-2.5000001200000001E-4</c:v>
                </c:pt>
                <c:pt idx="107">
                  <c:v>-3.5050252300000001E-4</c:v>
                </c:pt>
                <c:pt idx="108">
                  <c:v>-1.0540201039999999E-3</c:v>
                </c:pt>
                <c:pt idx="109">
                  <c:v>-1.0540201039999999E-3</c:v>
                </c:pt>
                <c:pt idx="110">
                  <c:v>-6.5201005800000005E-4</c:v>
                </c:pt>
                <c:pt idx="111">
                  <c:v>-4.5100503500000001E-4</c:v>
                </c:pt>
                <c:pt idx="112">
                  <c:v>-1.4560301499999999E-3</c:v>
                </c:pt>
                <c:pt idx="113">
                  <c:v>-1.4560301499999999E-3</c:v>
                </c:pt>
                <c:pt idx="114">
                  <c:v>-1.958542707E-3</c:v>
                </c:pt>
                <c:pt idx="115">
                  <c:v>-1.4560301499999999E-3</c:v>
                </c:pt>
                <c:pt idx="116">
                  <c:v>-1.556532661E-3</c:v>
                </c:pt>
                <c:pt idx="117">
                  <c:v>-2.2600502419999999E-3</c:v>
                </c:pt>
                <c:pt idx="118">
                  <c:v>-1.4560301499999999E-3</c:v>
                </c:pt>
                <c:pt idx="119">
                  <c:v>-1.154522615E-3</c:v>
                </c:pt>
                <c:pt idx="120">
                  <c:v>-7.52512569E-4</c:v>
                </c:pt>
                <c:pt idx="121">
                  <c:v>-1.0540201039999999E-3</c:v>
                </c:pt>
                <c:pt idx="122">
                  <c:v>-1.4560301499999999E-3</c:v>
                </c:pt>
                <c:pt idx="123">
                  <c:v>-1.154522615E-3</c:v>
                </c:pt>
                <c:pt idx="124">
                  <c:v>-1.7575376840000001E-3</c:v>
                </c:pt>
                <c:pt idx="125">
                  <c:v>-1.556532661E-3</c:v>
                </c:pt>
                <c:pt idx="126">
                  <c:v>-1.4560301499999999E-3</c:v>
                </c:pt>
                <c:pt idx="127">
                  <c:v>-1.556532661E-3</c:v>
                </c:pt>
                <c:pt idx="128">
                  <c:v>-2.5000001200000001E-4</c:v>
                </c:pt>
                <c:pt idx="129">
                  <c:v>-3.5050252300000001E-4</c:v>
                </c:pt>
                <c:pt idx="130">
                  <c:v>-1.255025127E-3</c:v>
                </c:pt>
                <c:pt idx="131">
                  <c:v>-1.4560301499999999E-3</c:v>
                </c:pt>
                <c:pt idx="132">
                  <c:v>-1.154522615E-3</c:v>
                </c:pt>
                <c:pt idx="133">
                  <c:v>-1.8580401959999999E-3</c:v>
                </c:pt>
                <c:pt idx="134">
                  <c:v>-2.2600502419999999E-3</c:v>
                </c:pt>
                <c:pt idx="135">
                  <c:v>-2.7625627989999999E-3</c:v>
                </c:pt>
                <c:pt idx="136">
                  <c:v>-3.0640703329999999E-3</c:v>
                </c:pt>
                <c:pt idx="137">
                  <c:v>-2.7625627989999999E-3</c:v>
                </c:pt>
                <c:pt idx="138">
                  <c:v>-2.2600502419999999E-3</c:v>
                </c:pt>
                <c:pt idx="139">
                  <c:v>-2.2600502419999999E-3</c:v>
                </c:pt>
                <c:pt idx="140">
                  <c:v>-1.958542707E-3</c:v>
                </c:pt>
                <c:pt idx="141">
                  <c:v>-7.52512569E-4</c:v>
                </c:pt>
                <c:pt idx="142">
                  <c:v>-1.3555276380000001E-3</c:v>
                </c:pt>
                <c:pt idx="143">
                  <c:v>-1.154522615E-3</c:v>
                </c:pt>
                <c:pt idx="144">
                  <c:v>-3.5050252300000001E-4</c:v>
                </c:pt>
                <c:pt idx="145">
                  <c:v>-1.556532661E-3</c:v>
                </c:pt>
                <c:pt idx="146">
                  <c:v>-1.0540201039999999E-3</c:v>
                </c:pt>
                <c:pt idx="147">
                  <c:v>-6.5201005800000005E-4</c:v>
                </c:pt>
                <c:pt idx="148">
                  <c:v>5.1507522999999997E-5</c:v>
                </c:pt>
                <c:pt idx="149">
                  <c:v>1.52010034E-4</c:v>
                </c:pt>
                <c:pt idx="150">
                  <c:v>-1.4949749999999999E-4</c:v>
                </c:pt>
                <c:pt idx="151">
                  <c:v>-7.52512569E-4</c:v>
                </c:pt>
                <c:pt idx="152">
                  <c:v>-1.3555276380000001E-3</c:v>
                </c:pt>
                <c:pt idx="153">
                  <c:v>-7.52512569E-4</c:v>
                </c:pt>
                <c:pt idx="154">
                  <c:v>4.5351756900000002E-4</c:v>
                </c:pt>
                <c:pt idx="155">
                  <c:v>1.52010034E-4</c:v>
                </c:pt>
                <c:pt idx="156">
                  <c:v>2.5251254600000002E-4</c:v>
                </c:pt>
                <c:pt idx="157">
                  <c:v>4.5351756900000002E-4</c:v>
                </c:pt>
                <c:pt idx="158">
                  <c:v>1.52010034E-4</c:v>
                </c:pt>
                <c:pt idx="159">
                  <c:v>-1.0540201039999999E-3</c:v>
                </c:pt>
                <c:pt idx="160">
                  <c:v>-2.5000001200000001E-4</c:v>
                </c:pt>
                <c:pt idx="161">
                  <c:v>-6.5201005800000005E-4</c:v>
                </c:pt>
                <c:pt idx="162">
                  <c:v>-1.8580401959999999E-3</c:v>
                </c:pt>
                <c:pt idx="163">
                  <c:v>-2.6620602880000001E-3</c:v>
                </c:pt>
                <c:pt idx="164">
                  <c:v>-3.4660803790000001E-3</c:v>
                </c:pt>
                <c:pt idx="165">
                  <c:v>-2.7625627989999999E-3</c:v>
                </c:pt>
                <c:pt idx="166">
                  <c:v>-3.8680904249999998E-3</c:v>
                </c:pt>
                <c:pt idx="167">
                  <c:v>-4.6721105170000003E-3</c:v>
                </c:pt>
                <c:pt idx="168">
                  <c:v>-4.2701004710000001E-3</c:v>
                </c:pt>
                <c:pt idx="169">
                  <c:v>-3.9685929370000001E-3</c:v>
                </c:pt>
                <c:pt idx="170">
                  <c:v>-4.2701004710000001E-3</c:v>
                </c:pt>
                <c:pt idx="171">
                  <c:v>-3.767587914E-3</c:v>
                </c:pt>
                <c:pt idx="172">
                  <c:v>-3.8680904249999998E-3</c:v>
                </c:pt>
                <c:pt idx="173">
                  <c:v>-3.8680904249999998E-3</c:v>
                </c:pt>
                <c:pt idx="174">
                  <c:v>-3.8680904249999998E-3</c:v>
                </c:pt>
                <c:pt idx="175">
                  <c:v>-2.2600502419999999E-3</c:v>
                </c:pt>
                <c:pt idx="176">
                  <c:v>-2.461055265E-3</c:v>
                </c:pt>
                <c:pt idx="177">
                  <c:v>-2.2600502419999999E-3</c:v>
                </c:pt>
                <c:pt idx="178">
                  <c:v>-2.3605527530000002E-3</c:v>
                </c:pt>
                <c:pt idx="179">
                  <c:v>-3.0640703329999999E-3</c:v>
                </c:pt>
                <c:pt idx="180">
                  <c:v>-2.7625627989999999E-3</c:v>
                </c:pt>
                <c:pt idx="181">
                  <c:v>-2.2600502419999999E-3</c:v>
                </c:pt>
                <c:pt idx="182">
                  <c:v>-1.556532661E-3</c:v>
                </c:pt>
                <c:pt idx="183">
                  <c:v>-1.4560301499999999E-3</c:v>
                </c:pt>
                <c:pt idx="184">
                  <c:v>7.5502510300000001E-4</c:v>
                </c:pt>
                <c:pt idx="185">
                  <c:v>1.52010034E-4</c:v>
                </c:pt>
                <c:pt idx="186">
                  <c:v>-6.5201005800000005E-4</c:v>
                </c:pt>
                <c:pt idx="187">
                  <c:v>-6.5201005800000005E-4</c:v>
                </c:pt>
                <c:pt idx="188">
                  <c:v>1.52010034E-4</c:v>
                </c:pt>
                <c:pt idx="189">
                  <c:v>3.5301505700000002E-4</c:v>
                </c:pt>
                <c:pt idx="190">
                  <c:v>1.52010034E-4</c:v>
                </c:pt>
                <c:pt idx="191">
                  <c:v>-3.5050252300000001E-4</c:v>
                </c:pt>
                <c:pt idx="192">
                  <c:v>-6.5201005800000005E-4</c:v>
                </c:pt>
                <c:pt idx="193">
                  <c:v>-6.5201005800000005E-4</c:v>
                </c:pt>
                <c:pt idx="194">
                  <c:v>-3.5050252300000001E-4</c:v>
                </c:pt>
                <c:pt idx="195">
                  <c:v>-7.52512569E-4</c:v>
                </c:pt>
                <c:pt idx="196">
                  <c:v>-9.5351759199999999E-4</c:v>
                </c:pt>
                <c:pt idx="197">
                  <c:v>-1.8580401959999999E-3</c:v>
                </c:pt>
                <c:pt idx="198">
                  <c:v>-1.3555276380000001E-3</c:v>
                </c:pt>
                <c:pt idx="199">
                  <c:v>-1.4560301499999999E-3</c:v>
                </c:pt>
                <c:pt idx="200">
                  <c:v>-2.1595477300000001E-3</c:v>
                </c:pt>
                <c:pt idx="201">
                  <c:v>-8.5301508100000005E-4</c:v>
                </c:pt>
                <c:pt idx="202">
                  <c:v>-1.556532661E-3</c:v>
                </c:pt>
                <c:pt idx="203">
                  <c:v>-2.1595477300000001E-3</c:v>
                </c:pt>
                <c:pt idx="204">
                  <c:v>-1.958542707E-3</c:v>
                </c:pt>
                <c:pt idx="205">
                  <c:v>-1.958542707E-3</c:v>
                </c:pt>
                <c:pt idx="206">
                  <c:v>-1.556532661E-3</c:v>
                </c:pt>
                <c:pt idx="207">
                  <c:v>-2.1595477300000001E-3</c:v>
                </c:pt>
                <c:pt idx="208">
                  <c:v>-1.556532661E-3</c:v>
                </c:pt>
                <c:pt idx="209">
                  <c:v>-1.4560301499999999E-3</c:v>
                </c:pt>
                <c:pt idx="210">
                  <c:v>-5.51507546E-4</c:v>
                </c:pt>
                <c:pt idx="211">
                  <c:v>8.5552761399999996E-4</c:v>
                </c:pt>
                <c:pt idx="212">
                  <c:v>1.358040172E-3</c:v>
                </c:pt>
                <c:pt idx="213">
                  <c:v>4.5351756900000002E-4</c:v>
                </c:pt>
                <c:pt idx="214">
                  <c:v>5.5402008000000002E-4</c:v>
                </c:pt>
                <c:pt idx="215">
                  <c:v>1.52010034E-4</c:v>
                </c:pt>
                <c:pt idx="216">
                  <c:v>1.0565326370000001E-3</c:v>
                </c:pt>
                <c:pt idx="217">
                  <c:v>9.56030126E-4</c:v>
                </c:pt>
                <c:pt idx="218">
                  <c:v>9.56030126E-4</c:v>
                </c:pt>
                <c:pt idx="219">
                  <c:v>8.5552761399999996E-4</c:v>
                </c:pt>
                <c:pt idx="220">
                  <c:v>1.6595477059999999E-3</c:v>
                </c:pt>
                <c:pt idx="221">
                  <c:v>2.1620602640000002E-3</c:v>
                </c:pt>
                <c:pt idx="222">
                  <c:v>1.860552729E-3</c:v>
                </c:pt>
                <c:pt idx="223">
                  <c:v>1.2575376599999999E-3</c:v>
                </c:pt>
                <c:pt idx="224">
                  <c:v>2.0615577519999999E-3</c:v>
                </c:pt>
                <c:pt idx="225">
                  <c:v>1.760050218E-3</c:v>
                </c:pt>
                <c:pt idx="226">
                  <c:v>1.2575376599999999E-3</c:v>
                </c:pt>
                <c:pt idx="227">
                  <c:v>1.860552729E-3</c:v>
                </c:pt>
                <c:pt idx="228">
                  <c:v>1.760050218E-3</c:v>
                </c:pt>
                <c:pt idx="229">
                  <c:v>1.0565326370000001E-3</c:v>
                </c:pt>
                <c:pt idx="230">
                  <c:v>1.52010034E-4</c:v>
                </c:pt>
                <c:pt idx="231">
                  <c:v>-5.51507546E-4</c:v>
                </c:pt>
                <c:pt idx="232">
                  <c:v>-3.5050252300000001E-4</c:v>
                </c:pt>
                <c:pt idx="233">
                  <c:v>-3.5050252300000001E-4</c:v>
                </c:pt>
                <c:pt idx="234">
                  <c:v>-6.5201005800000005E-4</c:v>
                </c:pt>
                <c:pt idx="235">
                  <c:v>-1.4560301499999999E-3</c:v>
                </c:pt>
                <c:pt idx="236">
                  <c:v>-2.3605527530000002E-3</c:v>
                </c:pt>
                <c:pt idx="237">
                  <c:v>-2.2600502419999999E-3</c:v>
                </c:pt>
                <c:pt idx="238">
                  <c:v>-2.6620602880000001E-3</c:v>
                </c:pt>
                <c:pt idx="239">
                  <c:v>-2.2600502419999999E-3</c:v>
                </c:pt>
                <c:pt idx="240">
                  <c:v>-2.3605527530000002E-3</c:v>
                </c:pt>
                <c:pt idx="241">
                  <c:v>-2.6620602880000001E-3</c:v>
                </c:pt>
                <c:pt idx="242">
                  <c:v>-1.958542707E-3</c:v>
                </c:pt>
                <c:pt idx="243">
                  <c:v>-3.265075356E-3</c:v>
                </c:pt>
                <c:pt idx="244">
                  <c:v>-3.8680904249999998E-3</c:v>
                </c:pt>
                <c:pt idx="245">
                  <c:v>-4.1695979600000002E-3</c:v>
                </c:pt>
                <c:pt idx="246">
                  <c:v>-4.9736180519999998E-3</c:v>
                </c:pt>
                <c:pt idx="247">
                  <c:v>-4.6721105170000003E-3</c:v>
                </c:pt>
                <c:pt idx="248">
                  <c:v>-3.9685929370000001E-3</c:v>
                </c:pt>
                <c:pt idx="249">
                  <c:v>-3.8680904249999998E-3</c:v>
                </c:pt>
                <c:pt idx="250">
                  <c:v>-4.3706029830000003E-3</c:v>
                </c:pt>
                <c:pt idx="251">
                  <c:v>-2.6620602880000001E-3</c:v>
                </c:pt>
                <c:pt idx="252">
                  <c:v>-2.963567822E-3</c:v>
                </c:pt>
                <c:pt idx="253">
                  <c:v>-2.3605527530000002E-3</c:v>
                </c:pt>
                <c:pt idx="254">
                  <c:v>-1.958542707E-3</c:v>
                </c:pt>
                <c:pt idx="255">
                  <c:v>-1.958542707E-3</c:v>
                </c:pt>
                <c:pt idx="256">
                  <c:v>-2.3605527530000002E-3</c:v>
                </c:pt>
                <c:pt idx="257">
                  <c:v>-1.556532661E-3</c:v>
                </c:pt>
                <c:pt idx="258">
                  <c:v>-1.556532661E-3</c:v>
                </c:pt>
                <c:pt idx="259">
                  <c:v>-1.3555276380000001E-3</c:v>
                </c:pt>
                <c:pt idx="260">
                  <c:v>-7.52512569E-4</c:v>
                </c:pt>
                <c:pt idx="261">
                  <c:v>-3.5050252300000001E-4</c:v>
                </c:pt>
                <c:pt idx="262">
                  <c:v>-1.4560301499999999E-3</c:v>
                </c:pt>
                <c:pt idx="263">
                  <c:v>-1.154522615E-3</c:v>
                </c:pt>
                <c:pt idx="264">
                  <c:v>-1.0540201039999999E-3</c:v>
                </c:pt>
                <c:pt idx="265">
                  <c:v>-8.5301508100000005E-4</c:v>
                </c:pt>
                <c:pt idx="266">
                  <c:v>-7.52512569E-4</c:v>
                </c:pt>
                <c:pt idx="267">
                  <c:v>-9.5351759199999999E-4</c:v>
                </c:pt>
                <c:pt idx="268">
                  <c:v>-1.0540201039999999E-3</c:v>
                </c:pt>
                <c:pt idx="269">
                  <c:v>-1.7575376840000001E-3</c:v>
                </c:pt>
                <c:pt idx="270">
                  <c:v>-1.154522615E-3</c:v>
                </c:pt>
                <c:pt idx="271">
                  <c:v>-1.8580401959999999E-3</c:v>
                </c:pt>
                <c:pt idx="272">
                  <c:v>-1.0540201039999999E-3</c:v>
                </c:pt>
                <c:pt idx="273">
                  <c:v>-1.154522615E-3</c:v>
                </c:pt>
                <c:pt idx="274">
                  <c:v>-7.52512569E-4</c:v>
                </c:pt>
                <c:pt idx="275">
                  <c:v>-1.3555276380000001E-3</c:v>
                </c:pt>
                <c:pt idx="276">
                  <c:v>-3.5050252300000001E-4</c:v>
                </c:pt>
                <c:pt idx="277">
                  <c:v>-1.3555276380000001E-3</c:v>
                </c:pt>
                <c:pt idx="278">
                  <c:v>-7.52512569E-4</c:v>
                </c:pt>
                <c:pt idx="279">
                  <c:v>-1.4949749999999999E-4</c:v>
                </c:pt>
                <c:pt idx="280">
                  <c:v>-6.5201005800000005E-4</c:v>
                </c:pt>
                <c:pt idx="281">
                  <c:v>1.52010034E-4</c:v>
                </c:pt>
                <c:pt idx="282">
                  <c:v>1.52010034E-4</c:v>
                </c:pt>
                <c:pt idx="283">
                  <c:v>5.1507522999999997E-5</c:v>
                </c:pt>
                <c:pt idx="284">
                  <c:v>2.5251254600000002E-4</c:v>
                </c:pt>
                <c:pt idx="285">
                  <c:v>9.56030126E-4</c:v>
                </c:pt>
                <c:pt idx="286">
                  <c:v>9.56030126E-4</c:v>
                </c:pt>
                <c:pt idx="287">
                  <c:v>5.5402008000000002E-4</c:v>
                </c:pt>
                <c:pt idx="288">
                  <c:v>5.5402008000000002E-4</c:v>
                </c:pt>
                <c:pt idx="289">
                  <c:v>3.5301505700000002E-4</c:v>
                </c:pt>
                <c:pt idx="290">
                  <c:v>5.5402008000000002E-4</c:v>
                </c:pt>
                <c:pt idx="291">
                  <c:v>4.5351756900000002E-4</c:v>
                </c:pt>
                <c:pt idx="292">
                  <c:v>5.5402008000000002E-4</c:v>
                </c:pt>
                <c:pt idx="293">
                  <c:v>8.5552761399999996E-4</c:v>
                </c:pt>
                <c:pt idx="294">
                  <c:v>1.0565326370000001E-3</c:v>
                </c:pt>
                <c:pt idx="295">
                  <c:v>5.5402008000000002E-4</c:v>
                </c:pt>
                <c:pt idx="296">
                  <c:v>-1.4949749999999999E-4</c:v>
                </c:pt>
                <c:pt idx="297">
                  <c:v>5.1507522999999997E-5</c:v>
                </c:pt>
                <c:pt idx="298">
                  <c:v>-1.4560301499999999E-3</c:v>
                </c:pt>
                <c:pt idx="299">
                  <c:v>-2.1595477300000001E-3</c:v>
                </c:pt>
                <c:pt idx="300">
                  <c:v>-1.4560301499999999E-3</c:v>
                </c:pt>
                <c:pt idx="301">
                  <c:v>-2.2600502419999999E-3</c:v>
                </c:pt>
                <c:pt idx="302">
                  <c:v>-2.6620602880000001E-3</c:v>
                </c:pt>
                <c:pt idx="303">
                  <c:v>-3.3655778679999998E-3</c:v>
                </c:pt>
                <c:pt idx="304">
                  <c:v>-4.1695979600000002E-3</c:v>
                </c:pt>
                <c:pt idx="305">
                  <c:v>-3.767587914E-3</c:v>
                </c:pt>
                <c:pt idx="306">
                  <c:v>-3.4660803790000001E-3</c:v>
                </c:pt>
                <c:pt idx="307">
                  <c:v>-4.2701004710000001E-3</c:v>
                </c:pt>
                <c:pt idx="308">
                  <c:v>-4.3706029830000003E-3</c:v>
                </c:pt>
                <c:pt idx="309">
                  <c:v>-3.8680904249999998E-3</c:v>
                </c:pt>
                <c:pt idx="310">
                  <c:v>-5.0741205629999996E-3</c:v>
                </c:pt>
                <c:pt idx="311">
                  <c:v>-4.6721105170000003E-3</c:v>
                </c:pt>
                <c:pt idx="312">
                  <c:v>-4.6721105170000003E-3</c:v>
                </c:pt>
                <c:pt idx="313">
                  <c:v>-5.0741205629999996E-3</c:v>
                </c:pt>
                <c:pt idx="314">
                  <c:v>-4.6721105170000003E-3</c:v>
                </c:pt>
                <c:pt idx="315">
                  <c:v>-4.2701004710000001E-3</c:v>
                </c:pt>
                <c:pt idx="316">
                  <c:v>-3.9685929370000001E-3</c:v>
                </c:pt>
                <c:pt idx="317">
                  <c:v>-3.1645728450000001E-3</c:v>
                </c:pt>
                <c:pt idx="318">
                  <c:v>-3.767587914E-3</c:v>
                </c:pt>
                <c:pt idx="319">
                  <c:v>-3.8680904249999998E-3</c:v>
                </c:pt>
                <c:pt idx="320">
                  <c:v>-3.4660803790000001E-3</c:v>
                </c:pt>
                <c:pt idx="321">
                  <c:v>-1.8580401959999999E-3</c:v>
                </c:pt>
                <c:pt idx="322">
                  <c:v>-1.154522615E-3</c:v>
                </c:pt>
                <c:pt idx="323">
                  <c:v>-5.51507546E-4</c:v>
                </c:pt>
                <c:pt idx="324">
                  <c:v>-5.51507546E-4</c:v>
                </c:pt>
                <c:pt idx="325">
                  <c:v>1.52010034E-4</c:v>
                </c:pt>
                <c:pt idx="326">
                  <c:v>-9.5351759199999999E-4</c:v>
                </c:pt>
                <c:pt idx="327">
                  <c:v>-7.52512569E-4</c:v>
                </c:pt>
                <c:pt idx="328">
                  <c:v>-6.5201005800000005E-4</c:v>
                </c:pt>
                <c:pt idx="329">
                  <c:v>-1.556532661E-3</c:v>
                </c:pt>
                <c:pt idx="330">
                  <c:v>-1.8580401959999999E-3</c:v>
                </c:pt>
                <c:pt idx="331">
                  <c:v>-1.0540201039999999E-3</c:v>
                </c:pt>
                <c:pt idx="332">
                  <c:v>-9.5351759199999999E-4</c:v>
                </c:pt>
                <c:pt idx="333">
                  <c:v>-1.4560301499999999E-3</c:v>
                </c:pt>
                <c:pt idx="334">
                  <c:v>-6.5201005800000005E-4</c:v>
                </c:pt>
                <c:pt idx="335">
                  <c:v>-1.8580401959999999E-3</c:v>
                </c:pt>
                <c:pt idx="336">
                  <c:v>-2.7625627989999999E-3</c:v>
                </c:pt>
                <c:pt idx="337">
                  <c:v>-1.556532661E-3</c:v>
                </c:pt>
                <c:pt idx="338">
                  <c:v>-2.2600502419999999E-3</c:v>
                </c:pt>
                <c:pt idx="339">
                  <c:v>-2.2600502419999999E-3</c:v>
                </c:pt>
                <c:pt idx="340">
                  <c:v>-1.556532661E-3</c:v>
                </c:pt>
                <c:pt idx="341">
                  <c:v>-2.2600502419999999E-3</c:v>
                </c:pt>
                <c:pt idx="342">
                  <c:v>-1.8580401959999999E-3</c:v>
                </c:pt>
                <c:pt idx="343">
                  <c:v>-1.8580401959999999E-3</c:v>
                </c:pt>
                <c:pt idx="344">
                  <c:v>-3.0640703329999999E-3</c:v>
                </c:pt>
                <c:pt idx="345">
                  <c:v>-1.958542707E-3</c:v>
                </c:pt>
                <c:pt idx="346">
                  <c:v>-7.52512569E-4</c:v>
                </c:pt>
                <c:pt idx="347">
                  <c:v>-1.255025127E-3</c:v>
                </c:pt>
                <c:pt idx="348">
                  <c:v>-1.0540201039999999E-3</c:v>
                </c:pt>
                <c:pt idx="349">
                  <c:v>-2.5000001200000001E-4</c:v>
                </c:pt>
                <c:pt idx="350">
                  <c:v>-1.4949749999999999E-4</c:v>
                </c:pt>
                <c:pt idx="351">
                  <c:v>4.5351756900000002E-4</c:v>
                </c:pt>
                <c:pt idx="352">
                  <c:v>8.5552761399999996E-4</c:v>
                </c:pt>
                <c:pt idx="353">
                  <c:v>5.1507522999999997E-5</c:v>
                </c:pt>
                <c:pt idx="354">
                  <c:v>3.5301505700000002E-4</c:v>
                </c:pt>
                <c:pt idx="355">
                  <c:v>-3.5050252300000001E-4</c:v>
                </c:pt>
                <c:pt idx="356">
                  <c:v>-2.5000001200000001E-4</c:v>
                </c:pt>
                <c:pt idx="357">
                  <c:v>8.5552761399999996E-4</c:v>
                </c:pt>
                <c:pt idx="358">
                  <c:v>9.56030126E-4</c:v>
                </c:pt>
                <c:pt idx="359">
                  <c:v>1.358040172E-3</c:v>
                </c:pt>
                <c:pt idx="360">
                  <c:v>1.6595477059999999E-3</c:v>
                </c:pt>
                <c:pt idx="361">
                  <c:v>1.0565326370000001E-3</c:v>
                </c:pt>
                <c:pt idx="362">
                  <c:v>5.5402008000000002E-4</c:v>
                </c:pt>
                <c:pt idx="363">
                  <c:v>9.56030126E-4</c:v>
                </c:pt>
                <c:pt idx="364">
                  <c:v>1.52010034E-4</c:v>
                </c:pt>
                <c:pt idx="365">
                  <c:v>5.5402008000000002E-4</c:v>
                </c:pt>
                <c:pt idx="366">
                  <c:v>5.1507522999999997E-5</c:v>
                </c:pt>
                <c:pt idx="367">
                  <c:v>1.52010034E-4</c:v>
                </c:pt>
                <c:pt idx="368">
                  <c:v>-3.5050252300000001E-4</c:v>
                </c:pt>
                <c:pt idx="369">
                  <c:v>-7.52512569E-4</c:v>
                </c:pt>
                <c:pt idx="370">
                  <c:v>-6.5201005800000005E-4</c:v>
                </c:pt>
                <c:pt idx="371">
                  <c:v>-1.4560301499999999E-3</c:v>
                </c:pt>
                <c:pt idx="372">
                  <c:v>-1.4560301499999999E-3</c:v>
                </c:pt>
                <c:pt idx="373">
                  <c:v>-1.8580401959999999E-3</c:v>
                </c:pt>
                <c:pt idx="374">
                  <c:v>-1.7575376840000001E-3</c:v>
                </c:pt>
                <c:pt idx="375">
                  <c:v>-2.2600502419999999E-3</c:v>
                </c:pt>
                <c:pt idx="376">
                  <c:v>-2.3605527530000002E-3</c:v>
                </c:pt>
                <c:pt idx="377">
                  <c:v>-3.265075356E-3</c:v>
                </c:pt>
                <c:pt idx="378">
                  <c:v>-2.6620602880000001E-3</c:v>
                </c:pt>
                <c:pt idx="379">
                  <c:v>-2.2600502419999999E-3</c:v>
                </c:pt>
                <c:pt idx="380">
                  <c:v>-3.0640703329999999E-3</c:v>
                </c:pt>
                <c:pt idx="381">
                  <c:v>-3.4660803790000001E-3</c:v>
                </c:pt>
                <c:pt idx="382">
                  <c:v>-3.1645728450000001E-3</c:v>
                </c:pt>
                <c:pt idx="383">
                  <c:v>-4.6721105170000003E-3</c:v>
                </c:pt>
                <c:pt idx="384">
                  <c:v>-3.8680904249999998E-3</c:v>
                </c:pt>
                <c:pt idx="385">
                  <c:v>-4.0690954479999999E-3</c:v>
                </c:pt>
                <c:pt idx="386">
                  <c:v>-3.0640703329999999E-3</c:v>
                </c:pt>
                <c:pt idx="387">
                  <c:v>-3.0640703329999999E-3</c:v>
                </c:pt>
                <c:pt idx="388">
                  <c:v>-3.4660803790000001E-3</c:v>
                </c:pt>
                <c:pt idx="389">
                  <c:v>-3.4660803790000001E-3</c:v>
                </c:pt>
                <c:pt idx="390">
                  <c:v>-3.1645728450000001E-3</c:v>
                </c:pt>
                <c:pt idx="391">
                  <c:v>-3.8680904249999998E-3</c:v>
                </c:pt>
                <c:pt idx="392">
                  <c:v>-3.3655778679999998E-3</c:v>
                </c:pt>
                <c:pt idx="393">
                  <c:v>-3.1645728450000001E-3</c:v>
                </c:pt>
                <c:pt idx="394">
                  <c:v>-2.7625627989999999E-3</c:v>
                </c:pt>
                <c:pt idx="395">
                  <c:v>-1.8580401959999999E-3</c:v>
                </c:pt>
                <c:pt idx="396">
                  <c:v>-1.8580401959999999E-3</c:v>
                </c:pt>
                <c:pt idx="397">
                  <c:v>5.1507522999999997E-5</c:v>
                </c:pt>
                <c:pt idx="398">
                  <c:v>2.5251254600000002E-4</c:v>
                </c:pt>
                <c:pt idx="399">
                  <c:v>-2.5000001200000001E-4</c:v>
                </c:pt>
                <c:pt idx="400">
                  <c:v>4.5351756900000002E-4</c:v>
                </c:pt>
                <c:pt idx="401">
                  <c:v>9.56030126E-4</c:v>
                </c:pt>
                <c:pt idx="402">
                  <c:v>1.2575376599999999E-3</c:v>
                </c:pt>
                <c:pt idx="403">
                  <c:v>1.6595477059999999E-3</c:v>
                </c:pt>
                <c:pt idx="404">
                  <c:v>2.4635677980000001E-3</c:v>
                </c:pt>
                <c:pt idx="405">
                  <c:v>2.1620602640000002E-3</c:v>
                </c:pt>
                <c:pt idx="406">
                  <c:v>2.8655778439999999E-3</c:v>
                </c:pt>
                <c:pt idx="407">
                  <c:v>2.9660803560000002E-3</c:v>
                </c:pt>
                <c:pt idx="408">
                  <c:v>1.760050218E-3</c:v>
                </c:pt>
                <c:pt idx="409">
                  <c:v>2.6645728209999998E-3</c:v>
                </c:pt>
                <c:pt idx="410">
                  <c:v>2.4635677980000001E-3</c:v>
                </c:pt>
                <c:pt idx="411">
                  <c:v>7.5502510300000001E-4</c:v>
                </c:pt>
                <c:pt idx="412">
                  <c:v>9.56030126E-4</c:v>
                </c:pt>
                <c:pt idx="413">
                  <c:v>9.56030126E-4</c:v>
                </c:pt>
                <c:pt idx="414">
                  <c:v>9.56030126E-4</c:v>
                </c:pt>
                <c:pt idx="415">
                  <c:v>-6.5201005800000005E-4</c:v>
                </c:pt>
                <c:pt idx="416">
                  <c:v>-1.154522615E-3</c:v>
                </c:pt>
                <c:pt idx="417">
                  <c:v>-1.4560301499999999E-3</c:v>
                </c:pt>
                <c:pt idx="418">
                  <c:v>-1.8580401959999999E-3</c:v>
                </c:pt>
                <c:pt idx="419">
                  <c:v>-2.2600502419999999E-3</c:v>
                </c:pt>
                <c:pt idx="420">
                  <c:v>-3.0640703329999999E-3</c:v>
                </c:pt>
                <c:pt idx="421">
                  <c:v>-3.4660803790000001E-3</c:v>
                </c:pt>
                <c:pt idx="422">
                  <c:v>-3.5665828909999999E-3</c:v>
                </c:pt>
                <c:pt idx="423">
                  <c:v>-3.9685929370000001E-3</c:v>
                </c:pt>
                <c:pt idx="424">
                  <c:v>-4.5716080060000004E-3</c:v>
                </c:pt>
                <c:pt idx="425">
                  <c:v>-5.1746230749999999E-3</c:v>
                </c:pt>
                <c:pt idx="426">
                  <c:v>-4.6721105170000003E-3</c:v>
                </c:pt>
                <c:pt idx="427">
                  <c:v>-4.9736180519999998E-3</c:v>
                </c:pt>
                <c:pt idx="428">
                  <c:v>-4.3706029830000003E-3</c:v>
                </c:pt>
                <c:pt idx="429">
                  <c:v>-4.6721105170000003E-3</c:v>
                </c:pt>
                <c:pt idx="430">
                  <c:v>-3.9685929370000001E-3</c:v>
                </c:pt>
                <c:pt idx="431">
                  <c:v>-3.8680904249999998E-3</c:v>
                </c:pt>
                <c:pt idx="432">
                  <c:v>-3.3655778679999998E-3</c:v>
                </c:pt>
                <c:pt idx="433">
                  <c:v>-2.8630653110000002E-3</c:v>
                </c:pt>
                <c:pt idx="434">
                  <c:v>-2.6620602880000001E-3</c:v>
                </c:pt>
                <c:pt idx="435">
                  <c:v>-2.2600502419999999E-3</c:v>
                </c:pt>
                <c:pt idx="436">
                  <c:v>-2.6620602880000001E-3</c:v>
                </c:pt>
                <c:pt idx="437">
                  <c:v>-2.2600502419999999E-3</c:v>
                </c:pt>
                <c:pt idx="438">
                  <c:v>-1.4560301499999999E-3</c:v>
                </c:pt>
                <c:pt idx="439">
                  <c:v>-1.556532661E-3</c:v>
                </c:pt>
                <c:pt idx="440">
                  <c:v>-1.0540201039999999E-3</c:v>
                </c:pt>
                <c:pt idx="441">
                  <c:v>-3.5050252300000001E-4</c:v>
                </c:pt>
                <c:pt idx="442">
                  <c:v>-2.5000001200000001E-4</c:v>
                </c:pt>
                <c:pt idx="443">
                  <c:v>-9.5351759199999999E-4</c:v>
                </c:pt>
                <c:pt idx="444">
                  <c:v>5.5402008000000002E-4</c:v>
                </c:pt>
                <c:pt idx="445">
                  <c:v>5.5402008000000002E-4</c:v>
                </c:pt>
                <c:pt idx="446">
                  <c:v>1.358040172E-3</c:v>
                </c:pt>
                <c:pt idx="447">
                  <c:v>1.458542683E-3</c:v>
                </c:pt>
                <c:pt idx="448">
                  <c:v>1.458542683E-3</c:v>
                </c:pt>
                <c:pt idx="449">
                  <c:v>1.0565326370000001E-3</c:v>
                </c:pt>
                <c:pt idx="450">
                  <c:v>1.358040172E-3</c:v>
                </c:pt>
                <c:pt idx="451">
                  <c:v>1.52010034E-4</c:v>
                </c:pt>
                <c:pt idx="452">
                  <c:v>1.52010034E-4</c:v>
                </c:pt>
                <c:pt idx="453">
                  <c:v>1.52010034E-4</c:v>
                </c:pt>
                <c:pt idx="454">
                  <c:v>-2.5000001200000001E-4</c:v>
                </c:pt>
                <c:pt idx="455">
                  <c:v>-6.5201005800000005E-4</c:v>
                </c:pt>
                <c:pt idx="456">
                  <c:v>-6.5201005800000005E-4</c:v>
                </c:pt>
                <c:pt idx="457">
                  <c:v>-1.4560301499999999E-3</c:v>
                </c:pt>
                <c:pt idx="458">
                  <c:v>-1.556532661E-3</c:v>
                </c:pt>
                <c:pt idx="459">
                  <c:v>-1.8580401959999999E-3</c:v>
                </c:pt>
                <c:pt idx="460">
                  <c:v>-2.3605527530000002E-3</c:v>
                </c:pt>
                <c:pt idx="461">
                  <c:v>-2.6620602880000001E-3</c:v>
                </c:pt>
                <c:pt idx="462">
                  <c:v>-2.6620602880000001E-3</c:v>
                </c:pt>
                <c:pt idx="463">
                  <c:v>-2.7625627989999999E-3</c:v>
                </c:pt>
                <c:pt idx="464">
                  <c:v>-2.6620602880000001E-3</c:v>
                </c:pt>
                <c:pt idx="465">
                  <c:v>-1.958542707E-3</c:v>
                </c:pt>
                <c:pt idx="466">
                  <c:v>-2.6620602880000001E-3</c:v>
                </c:pt>
                <c:pt idx="467">
                  <c:v>-3.3655778679999998E-3</c:v>
                </c:pt>
                <c:pt idx="468">
                  <c:v>-2.7625627989999999E-3</c:v>
                </c:pt>
                <c:pt idx="469">
                  <c:v>-2.1595477300000001E-3</c:v>
                </c:pt>
                <c:pt idx="470">
                  <c:v>-2.5615577759999998E-3</c:v>
                </c:pt>
                <c:pt idx="471">
                  <c:v>-2.3605527530000002E-3</c:v>
                </c:pt>
                <c:pt idx="472">
                  <c:v>-2.3605527530000002E-3</c:v>
                </c:pt>
                <c:pt idx="473">
                  <c:v>-2.2600502419999999E-3</c:v>
                </c:pt>
                <c:pt idx="474">
                  <c:v>-1.4560301499999999E-3</c:v>
                </c:pt>
                <c:pt idx="475">
                  <c:v>-6.5201005800000005E-4</c:v>
                </c:pt>
                <c:pt idx="476">
                  <c:v>-3.5050252300000001E-4</c:v>
                </c:pt>
                <c:pt idx="477">
                  <c:v>1.52010034E-4</c:v>
                </c:pt>
                <c:pt idx="478">
                  <c:v>-2.5000001200000001E-4</c:v>
                </c:pt>
                <c:pt idx="479">
                  <c:v>1.52010034E-4</c:v>
                </c:pt>
                <c:pt idx="480">
                  <c:v>-1.4949749999999999E-4</c:v>
                </c:pt>
                <c:pt idx="481">
                  <c:v>5.5402008000000002E-4</c:v>
                </c:pt>
                <c:pt idx="482">
                  <c:v>-1.154522615E-3</c:v>
                </c:pt>
                <c:pt idx="483">
                  <c:v>1.52010034E-4</c:v>
                </c:pt>
                <c:pt idx="484">
                  <c:v>-1.0540201039999999E-3</c:v>
                </c:pt>
                <c:pt idx="485">
                  <c:v>1.52010034E-4</c:v>
                </c:pt>
                <c:pt idx="486">
                  <c:v>8.5552761399999996E-4</c:v>
                </c:pt>
                <c:pt idx="487">
                  <c:v>2.5251254600000002E-4</c:v>
                </c:pt>
                <c:pt idx="488">
                  <c:v>-6.5201005800000005E-4</c:v>
                </c:pt>
                <c:pt idx="489">
                  <c:v>-1.556532661E-3</c:v>
                </c:pt>
                <c:pt idx="490">
                  <c:v>-1.556532661E-3</c:v>
                </c:pt>
                <c:pt idx="491">
                  <c:v>-1.4560301499999999E-3</c:v>
                </c:pt>
                <c:pt idx="492">
                  <c:v>-1.8580401959999999E-3</c:v>
                </c:pt>
                <c:pt idx="493">
                  <c:v>-3.3655778679999998E-3</c:v>
                </c:pt>
                <c:pt idx="494">
                  <c:v>-3.8680904249999998E-3</c:v>
                </c:pt>
                <c:pt idx="495">
                  <c:v>-2.8630653110000002E-3</c:v>
                </c:pt>
                <c:pt idx="496">
                  <c:v>-3.5665828909999999E-3</c:v>
                </c:pt>
                <c:pt idx="497">
                  <c:v>-4.3706029830000003E-3</c:v>
                </c:pt>
                <c:pt idx="498">
                  <c:v>-3.5665828909999999E-3</c:v>
                </c:pt>
                <c:pt idx="499">
                  <c:v>-3.4660803790000001E-3</c:v>
                </c:pt>
                <c:pt idx="500">
                  <c:v>-3.8680904249999998E-3</c:v>
                </c:pt>
                <c:pt idx="501">
                  <c:v>-3.8680904249999998E-3</c:v>
                </c:pt>
                <c:pt idx="502">
                  <c:v>-3.0640703329999999E-3</c:v>
                </c:pt>
                <c:pt idx="503">
                  <c:v>-3.4660803790000001E-3</c:v>
                </c:pt>
                <c:pt idx="504">
                  <c:v>-3.0640703329999999E-3</c:v>
                </c:pt>
                <c:pt idx="505">
                  <c:v>-3.1645728450000001E-3</c:v>
                </c:pt>
                <c:pt idx="506">
                  <c:v>-3.0640703329999999E-3</c:v>
                </c:pt>
                <c:pt idx="507">
                  <c:v>-3.0640703329999999E-3</c:v>
                </c:pt>
                <c:pt idx="508">
                  <c:v>-2.2600502419999999E-3</c:v>
                </c:pt>
                <c:pt idx="509">
                  <c:v>-1.8580401959999999E-3</c:v>
                </c:pt>
                <c:pt idx="510">
                  <c:v>-2.1595477300000001E-3</c:v>
                </c:pt>
                <c:pt idx="511">
                  <c:v>-2.3605527530000002E-3</c:v>
                </c:pt>
                <c:pt idx="512">
                  <c:v>-1.8580401959999999E-3</c:v>
                </c:pt>
                <c:pt idx="513">
                  <c:v>-1.8580401959999999E-3</c:v>
                </c:pt>
                <c:pt idx="514">
                  <c:v>-1.4560301499999999E-3</c:v>
                </c:pt>
                <c:pt idx="515">
                  <c:v>-6.5201005800000005E-4</c:v>
                </c:pt>
                <c:pt idx="516">
                  <c:v>-5.51507546E-4</c:v>
                </c:pt>
                <c:pt idx="517">
                  <c:v>5.1507522999999997E-5</c:v>
                </c:pt>
                <c:pt idx="518">
                  <c:v>1.52010034E-4</c:v>
                </c:pt>
                <c:pt idx="519">
                  <c:v>4.5351756900000002E-4</c:v>
                </c:pt>
                <c:pt idx="520">
                  <c:v>-6.5201005800000005E-4</c:v>
                </c:pt>
                <c:pt idx="521">
                  <c:v>-2.5000001200000001E-4</c:v>
                </c:pt>
                <c:pt idx="522">
                  <c:v>-3.5050252300000001E-4</c:v>
                </c:pt>
                <c:pt idx="523">
                  <c:v>4.5351756900000002E-4</c:v>
                </c:pt>
                <c:pt idx="524">
                  <c:v>-3.5050252300000001E-4</c:v>
                </c:pt>
                <c:pt idx="525">
                  <c:v>-7.52512569E-4</c:v>
                </c:pt>
                <c:pt idx="526">
                  <c:v>-6.5201005800000005E-4</c:v>
                </c:pt>
                <c:pt idx="527">
                  <c:v>-7.52512569E-4</c:v>
                </c:pt>
                <c:pt idx="528">
                  <c:v>-1.4560301499999999E-3</c:v>
                </c:pt>
                <c:pt idx="529">
                  <c:v>-1.7575376840000001E-3</c:v>
                </c:pt>
                <c:pt idx="530">
                  <c:v>-1.154522615E-3</c:v>
                </c:pt>
                <c:pt idx="531">
                  <c:v>-9.5351759199999999E-4</c:v>
                </c:pt>
                <c:pt idx="532">
                  <c:v>-6.5201005800000005E-4</c:v>
                </c:pt>
                <c:pt idx="533">
                  <c:v>-6.5201005800000005E-4</c:v>
                </c:pt>
                <c:pt idx="534">
                  <c:v>-7.52512569E-4</c:v>
                </c:pt>
                <c:pt idx="535">
                  <c:v>-5.51507546E-4</c:v>
                </c:pt>
                <c:pt idx="536">
                  <c:v>-9.5351759199999999E-4</c:v>
                </c:pt>
                <c:pt idx="537">
                  <c:v>-1.556532661E-3</c:v>
                </c:pt>
                <c:pt idx="538">
                  <c:v>-2.6620602880000001E-3</c:v>
                </c:pt>
                <c:pt idx="539">
                  <c:v>-2.1595477300000001E-3</c:v>
                </c:pt>
                <c:pt idx="540">
                  <c:v>-2.5615577759999998E-3</c:v>
                </c:pt>
                <c:pt idx="541">
                  <c:v>-1.4560301499999999E-3</c:v>
                </c:pt>
                <c:pt idx="542">
                  <c:v>-2.5000001200000001E-4</c:v>
                </c:pt>
                <c:pt idx="543">
                  <c:v>1.52010034E-4</c:v>
                </c:pt>
                <c:pt idx="544">
                  <c:v>-2.5000001200000001E-4</c:v>
                </c:pt>
                <c:pt idx="545">
                  <c:v>-3.5050252300000001E-4</c:v>
                </c:pt>
                <c:pt idx="546">
                  <c:v>-1.154522615E-3</c:v>
                </c:pt>
                <c:pt idx="547">
                  <c:v>5.1507522999999997E-5</c:v>
                </c:pt>
                <c:pt idx="548">
                  <c:v>-2.5000001200000001E-4</c:v>
                </c:pt>
                <c:pt idx="549">
                  <c:v>-6.5201005800000005E-4</c:v>
                </c:pt>
                <c:pt idx="550">
                  <c:v>-2.5000001200000001E-4</c:v>
                </c:pt>
                <c:pt idx="551">
                  <c:v>4.5351756900000002E-4</c:v>
                </c:pt>
                <c:pt idx="552">
                  <c:v>5.5402008000000002E-4</c:v>
                </c:pt>
                <c:pt idx="553">
                  <c:v>5.5402008000000002E-4</c:v>
                </c:pt>
                <c:pt idx="554">
                  <c:v>-5.51507546E-4</c:v>
                </c:pt>
                <c:pt idx="555">
                  <c:v>-6.5201005800000005E-4</c:v>
                </c:pt>
                <c:pt idx="556">
                  <c:v>5.5402008000000002E-4</c:v>
                </c:pt>
                <c:pt idx="557">
                  <c:v>5.1507522999999997E-5</c:v>
                </c:pt>
                <c:pt idx="558">
                  <c:v>-2.5000001200000001E-4</c:v>
                </c:pt>
                <c:pt idx="559">
                  <c:v>5.1507522999999997E-5</c:v>
                </c:pt>
                <c:pt idx="560">
                  <c:v>-2.5000001200000001E-4</c:v>
                </c:pt>
                <c:pt idx="561">
                  <c:v>-7.52512569E-4</c:v>
                </c:pt>
                <c:pt idx="562">
                  <c:v>-1.8580401959999999E-3</c:v>
                </c:pt>
                <c:pt idx="563">
                  <c:v>-2.6620602880000001E-3</c:v>
                </c:pt>
                <c:pt idx="564">
                  <c:v>-1.958542707E-3</c:v>
                </c:pt>
                <c:pt idx="565">
                  <c:v>-2.963567822E-3</c:v>
                </c:pt>
                <c:pt idx="566">
                  <c:v>-2.6620602880000001E-3</c:v>
                </c:pt>
                <c:pt idx="567">
                  <c:v>-2.5615577759999998E-3</c:v>
                </c:pt>
                <c:pt idx="568">
                  <c:v>-3.0640703329999999E-3</c:v>
                </c:pt>
                <c:pt idx="569">
                  <c:v>-2.7625627989999999E-3</c:v>
                </c:pt>
                <c:pt idx="570">
                  <c:v>-2.963567822E-3</c:v>
                </c:pt>
                <c:pt idx="571">
                  <c:v>-2.6620602880000001E-3</c:v>
                </c:pt>
                <c:pt idx="572">
                  <c:v>-3.1645728450000001E-3</c:v>
                </c:pt>
                <c:pt idx="573">
                  <c:v>-2.2600502419999999E-3</c:v>
                </c:pt>
                <c:pt idx="574">
                  <c:v>-2.2600502419999999E-3</c:v>
                </c:pt>
                <c:pt idx="575">
                  <c:v>-2.6620602880000001E-3</c:v>
                </c:pt>
                <c:pt idx="576">
                  <c:v>-2.3605527530000002E-3</c:v>
                </c:pt>
                <c:pt idx="577">
                  <c:v>-2.6620602880000001E-3</c:v>
                </c:pt>
                <c:pt idx="578">
                  <c:v>-2.2600502419999999E-3</c:v>
                </c:pt>
                <c:pt idx="579">
                  <c:v>-2.2600502419999999E-3</c:v>
                </c:pt>
                <c:pt idx="580">
                  <c:v>-2.1595477300000001E-3</c:v>
                </c:pt>
                <c:pt idx="581">
                  <c:v>-1.8580401959999999E-3</c:v>
                </c:pt>
                <c:pt idx="582">
                  <c:v>-2.1595477300000001E-3</c:v>
                </c:pt>
                <c:pt idx="583">
                  <c:v>-1.8580401959999999E-3</c:v>
                </c:pt>
                <c:pt idx="584">
                  <c:v>-1.958542707E-3</c:v>
                </c:pt>
                <c:pt idx="585">
                  <c:v>-3.5050252300000001E-4</c:v>
                </c:pt>
                <c:pt idx="586">
                  <c:v>1.52010034E-4</c:v>
                </c:pt>
                <c:pt idx="587">
                  <c:v>2.5251254600000002E-4</c:v>
                </c:pt>
                <c:pt idx="588">
                  <c:v>9.56030126E-4</c:v>
                </c:pt>
                <c:pt idx="589">
                  <c:v>6.5452259199999996E-4</c:v>
                </c:pt>
                <c:pt idx="590">
                  <c:v>8.5552761399999996E-4</c:v>
                </c:pt>
                <c:pt idx="591">
                  <c:v>1.0565326370000001E-3</c:v>
                </c:pt>
                <c:pt idx="592">
                  <c:v>1.2575376599999999E-3</c:v>
                </c:pt>
                <c:pt idx="593">
                  <c:v>1.2575376599999999E-3</c:v>
                </c:pt>
                <c:pt idx="594">
                  <c:v>5.5402008000000002E-4</c:v>
                </c:pt>
                <c:pt idx="595">
                  <c:v>-2.5000001200000001E-4</c:v>
                </c:pt>
                <c:pt idx="596">
                  <c:v>6.5452259199999996E-4</c:v>
                </c:pt>
                <c:pt idx="597">
                  <c:v>4.5351756900000002E-4</c:v>
                </c:pt>
                <c:pt idx="598">
                  <c:v>2.5251254600000002E-4</c:v>
                </c:pt>
                <c:pt idx="599">
                  <c:v>5.5402008000000002E-4</c:v>
                </c:pt>
                <c:pt idx="600">
                  <c:v>-1.4949749999999999E-4</c:v>
                </c:pt>
                <c:pt idx="601">
                  <c:v>5.5402008000000002E-4</c:v>
                </c:pt>
                <c:pt idx="602">
                  <c:v>2.5251254600000002E-4</c:v>
                </c:pt>
                <c:pt idx="603">
                  <c:v>-6.5201005800000005E-4</c:v>
                </c:pt>
                <c:pt idx="604">
                  <c:v>-9.5351759199999999E-4</c:v>
                </c:pt>
                <c:pt idx="605">
                  <c:v>-1.4560301499999999E-3</c:v>
                </c:pt>
                <c:pt idx="606">
                  <c:v>-1.8580401959999999E-3</c:v>
                </c:pt>
                <c:pt idx="607">
                  <c:v>-1.8580401959999999E-3</c:v>
                </c:pt>
                <c:pt idx="608">
                  <c:v>-1.958542707E-3</c:v>
                </c:pt>
                <c:pt idx="609">
                  <c:v>-1.556532661E-3</c:v>
                </c:pt>
                <c:pt idx="610">
                  <c:v>-1.8580401959999999E-3</c:v>
                </c:pt>
                <c:pt idx="611">
                  <c:v>-3.1645728450000001E-3</c:v>
                </c:pt>
                <c:pt idx="612">
                  <c:v>-1.4560301499999999E-3</c:v>
                </c:pt>
                <c:pt idx="613">
                  <c:v>-2.6620602880000001E-3</c:v>
                </c:pt>
                <c:pt idx="614">
                  <c:v>-2.3605527530000002E-3</c:v>
                </c:pt>
                <c:pt idx="615">
                  <c:v>-2.2600502419999999E-3</c:v>
                </c:pt>
                <c:pt idx="616">
                  <c:v>-1.8580401959999999E-3</c:v>
                </c:pt>
                <c:pt idx="617">
                  <c:v>-1.0540201039999999E-3</c:v>
                </c:pt>
                <c:pt idx="618">
                  <c:v>-1.8580401959999999E-3</c:v>
                </c:pt>
                <c:pt idx="619">
                  <c:v>-9.5351759199999999E-4</c:v>
                </c:pt>
                <c:pt idx="620">
                  <c:v>-1.154522615E-3</c:v>
                </c:pt>
                <c:pt idx="621">
                  <c:v>-1.4560301499999999E-3</c:v>
                </c:pt>
                <c:pt idx="622">
                  <c:v>-4.8994988999999998E-5</c:v>
                </c:pt>
                <c:pt idx="623">
                  <c:v>5.1507522999999997E-5</c:v>
                </c:pt>
                <c:pt idx="624">
                  <c:v>-1.0540201039999999E-3</c:v>
                </c:pt>
                <c:pt idx="625">
                  <c:v>-4.8994988999999998E-5</c:v>
                </c:pt>
                <c:pt idx="626">
                  <c:v>-1.4949749999999999E-4</c:v>
                </c:pt>
                <c:pt idx="627">
                  <c:v>-2.5000001200000001E-4</c:v>
                </c:pt>
                <c:pt idx="628">
                  <c:v>5.5402008000000002E-4</c:v>
                </c:pt>
                <c:pt idx="629">
                  <c:v>7.5502510300000001E-4</c:v>
                </c:pt>
                <c:pt idx="630">
                  <c:v>9.56030126E-4</c:v>
                </c:pt>
                <c:pt idx="631">
                  <c:v>1.52010034E-4</c:v>
                </c:pt>
                <c:pt idx="632">
                  <c:v>-2.5000001200000001E-4</c:v>
                </c:pt>
                <c:pt idx="633">
                  <c:v>1.52010034E-4</c:v>
                </c:pt>
                <c:pt idx="634">
                  <c:v>-1.154522615E-3</c:v>
                </c:pt>
                <c:pt idx="635">
                  <c:v>-1.0540201039999999E-3</c:v>
                </c:pt>
                <c:pt idx="636">
                  <c:v>-6.5201005800000005E-4</c:v>
                </c:pt>
                <c:pt idx="637">
                  <c:v>-9.5351759199999999E-4</c:v>
                </c:pt>
                <c:pt idx="638">
                  <c:v>-3.5050252300000001E-4</c:v>
                </c:pt>
                <c:pt idx="639">
                  <c:v>-9.5351759199999999E-4</c:v>
                </c:pt>
                <c:pt idx="640">
                  <c:v>-1.8580401959999999E-3</c:v>
                </c:pt>
                <c:pt idx="641">
                  <c:v>-1.8580401959999999E-3</c:v>
                </c:pt>
                <c:pt idx="642">
                  <c:v>-3.0640703329999999E-3</c:v>
                </c:pt>
                <c:pt idx="643">
                  <c:v>-3.3655778679999998E-3</c:v>
                </c:pt>
                <c:pt idx="644">
                  <c:v>-3.8680904249999998E-3</c:v>
                </c:pt>
                <c:pt idx="645">
                  <c:v>-4.9736180519999998E-3</c:v>
                </c:pt>
                <c:pt idx="646">
                  <c:v>-5.7776381440000002E-3</c:v>
                </c:pt>
                <c:pt idx="647">
                  <c:v>-5.375628098E-3</c:v>
                </c:pt>
                <c:pt idx="648">
                  <c:v>-5.1746230749999999E-3</c:v>
                </c:pt>
                <c:pt idx="649">
                  <c:v>-4.1695979600000002E-3</c:v>
                </c:pt>
                <c:pt idx="650">
                  <c:v>-4.6721105170000003E-3</c:v>
                </c:pt>
                <c:pt idx="651">
                  <c:v>-3.767587914E-3</c:v>
                </c:pt>
                <c:pt idx="652">
                  <c:v>-3.9685929370000001E-3</c:v>
                </c:pt>
                <c:pt idx="653">
                  <c:v>-2.8630653110000002E-3</c:v>
                </c:pt>
                <c:pt idx="654">
                  <c:v>-2.2600502419999999E-3</c:v>
                </c:pt>
                <c:pt idx="655">
                  <c:v>-1.4560301499999999E-3</c:v>
                </c:pt>
                <c:pt idx="656">
                  <c:v>-1.4560301499999999E-3</c:v>
                </c:pt>
                <c:pt idx="657">
                  <c:v>-1.556532661E-3</c:v>
                </c:pt>
                <c:pt idx="658">
                  <c:v>-1.958542707E-3</c:v>
                </c:pt>
                <c:pt idx="659">
                  <c:v>-2.0590452189999998E-3</c:v>
                </c:pt>
                <c:pt idx="660">
                  <c:v>-1.154522615E-3</c:v>
                </c:pt>
                <c:pt idx="661">
                  <c:v>-6.5201005800000005E-4</c:v>
                </c:pt>
                <c:pt idx="662">
                  <c:v>1.52010034E-4</c:v>
                </c:pt>
                <c:pt idx="663">
                  <c:v>4.5351756900000002E-4</c:v>
                </c:pt>
                <c:pt idx="664">
                  <c:v>5.5402008000000002E-4</c:v>
                </c:pt>
                <c:pt idx="665">
                  <c:v>9.56030126E-4</c:v>
                </c:pt>
                <c:pt idx="666">
                  <c:v>2.0615577519999999E-3</c:v>
                </c:pt>
                <c:pt idx="667">
                  <c:v>1.860552729E-3</c:v>
                </c:pt>
                <c:pt idx="668">
                  <c:v>1.760050218E-3</c:v>
                </c:pt>
                <c:pt idx="669">
                  <c:v>2.4635677980000001E-3</c:v>
                </c:pt>
                <c:pt idx="670">
                  <c:v>3.066582867E-3</c:v>
                </c:pt>
                <c:pt idx="671">
                  <c:v>3.4685929130000002E-3</c:v>
                </c:pt>
                <c:pt idx="672">
                  <c:v>3.7701004480000001E-3</c:v>
                </c:pt>
                <c:pt idx="673">
                  <c:v>2.4635677980000001E-3</c:v>
                </c:pt>
                <c:pt idx="674">
                  <c:v>2.0615577519999999E-3</c:v>
                </c:pt>
                <c:pt idx="675">
                  <c:v>2.262562775E-3</c:v>
                </c:pt>
                <c:pt idx="676">
                  <c:v>1.2575376599999999E-3</c:v>
                </c:pt>
                <c:pt idx="677">
                  <c:v>-6.5201005800000005E-4</c:v>
                </c:pt>
                <c:pt idx="678">
                  <c:v>-1.4560301499999999E-3</c:v>
                </c:pt>
                <c:pt idx="679">
                  <c:v>-1.4560301499999999E-3</c:v>
                </c:pt>
                <c:pt idx="680">
                  <c:v>-7.52512569E-4</c:v>
                </c:pt>
                <c:pt idx="681">
                  <c:v>-1.154522615E-3</c:v>
                </c:pt>
                <c:pt idx="682">
                  <c:v>-1.556532661E-3</c:v>
                </c:pt>
                <c:pt idx="683">
                  <c:v>-1.8580401959999999E-3</c:v>
                </c:pt>
                <c:pt idx="684">
                  <c:v>-2.7625627989999999E-3</c:v>
                </c:pt>
                <c:pt idx="685">
                  <c:v>-3.3655778679999998E-3</c:v>
                </c:pt>
                <c:pt idx="686">
                  <c:v>-3.9685929370000001E-3</c:v>
                </c:pt>
                <c:pt idx="687">
                  <c:v>-2.8630653110000002E-3</c:v>
                </c:pt>
                <c:pt idx="688">
                  <c:v>-3.0640703329999999E-3</c:v>
                </c:pt>
                <c:pt idx="689">
                  <c:v>-2.7625627989999999E-3</c:v>
                </c:pt>
                <c:pt idx="690">
                  <c:v>-3.8680904249999998E-3</c:v>
                </c:pt>
                <c:pt idx="691">
                  <c:v>-4.1695979600000002E-3</c:v>
                </c:pt>
                <c:pt idx="692">
                  <c:v>-3.9685929370000001E-3</c:v>
                </c:pt>
                <c:pt idx="693">
                  <c:v>-4.2701004710000001E-3</c:v>
                </c:pt>
                <c:pt idx="694">
                  <c:v>-3.8680904249999998E-3</c:v>
                </c:pt>
                <c:pt idx="695">
                  <c:v>-2.2600502419999999E-3</c:v>
                </c:pt>
                <c:pt idx="696">
                  <c:v>-1.4560301499999999E-3</c:v>
                </c:pt>
                <c:pt idx="697">
                  <c:v>-2.0590452189999998E-3</c:v>
                </c:pt>
                <c:pt idx="698">
                  <c:v>-1.556532661E-3</c:v>
                </c:pt>
                <c:pt idx="699">
                  <c:v>-1.4560301499999999E-3</c:v>
                </c:pt>
                <c:pt idx="700">
                  <c:v>-1.8580401959999999E-3</c:v>
                </c:pt>
                <c:pt idx="701">
                  <c:v>-2.2600502419999999E-3</c:v>
                </c:pt>
                <c:pt idx="702">
                  <c:v>-1.556532661E-3</c:v>
                </c:pt>
                <c:pt idx="703">
                  <c:v>-6.5201005800000005E-4</c:v>
                </c:pt>
                <c:pt idx="704">
                  <c:v>-1.154522615E-3</c:v>
                </c:pt>
                <c:pt idx="705">
                  <c:v>-6.5201005800000005E-4</c:v>
                </c:pt>
                <c:pt idx="706">
                  <c:v>-3.5050252300000001E-4</c:v>
                </c:pt>
                <c:pt idx="707">
                  <c:v>-2.5000001200000001E-4</c:v>
                </c:pt>
                <c:pt idx="708">
                  <c:v>-2.5000001200000001E-4</c:v>
                </c:pt>
                <c:pt idx="709">
                  <c:v>-2.5000001200000001E-4</c:v>
                </c:pt>
                <c:pt idx="710">
                  <c:v>-2.5000001200000001E-4</c:v>
                </c:pt>
                <c:pt idx="711">
                  <c:v>-6.5201005800000005E-4</c:v>
                </c:pt>
                <c:pt idx="712">
                  <c:v>-1.154522615E-3</c:v>
                </c:pt>
                <c:pt idx="713">
                  <c:v>-1.4560301499999999E-3</c:v>
                </c:pt>
                <c:pt idx="714">
                  <c:v>-1.154522615E-3</c:v>
                </c:pt>
                <c:pt idx="715">
                  <c:v>-1.958542707E-3</c:v>
                </c:pt>
                <c:pt idx="716">
                  <c:v>-2.2600502419999999E-3</c:v>
                </c:pt>
                <c:pt idx="717">
                  <c:v>-2.3605527530000002E-3</c:v>
                </c:pt>
                <c:pt idx="718">
                  <c:v>-2.461055265E-3</c:v>
                </c:pt>
                <c:pt idx="719">
                  <c:v>-2.2600502419999999E-3</c:v>
                </c:pt>
                <c:pt idx="720">
                  <c:v>-1.3555276380000001E-3</c:v>
                </c:pt>
                <c:pt idx="721">
                  <c:v>-2.6620602880000001E-3</c:v>
                </c:pt>
                <c:pt idx="722">
                  <c:v>-1.958542707E-3</c:v>
                </c:pt>
                <c:pt idx="723">
                  <c:v>-2.2600502419999999E-3</c:v>
                </c:pt>
                <c:pt idx="724">
                  <c:v>-1.958542707E-3</c:v>
                </c:pt>
                <c:pt idx="725">
                  <c:v>-1.7575376840000001E-3</c:v>
                </c:pt>
                <c:pt idx="726">
                  <c:v>-2.5615577759999998E-3</c:v>
                </c:pt>
                <c:pt idx="727">
                  <c:v>-2.2600502419999999E-3</c:v>
                </c:pt>
                <c:pt idx="728">
                  <c:v>-2.2600502419999999E-3</c:v>
                </c:pt>
                <c:pt idx="729">
                  <c:v>-3.1645728450000001E-3</c:v>
                </c:pt>
                <c:pt idx="730">
                  <c:v>-2.6620602880000001E-3</c:v>
                </c:pt>
                <c:pt idx="731">
                  <c:v>-2.2600502419999999E-3</c:v>
                </c:pt>
                <c:pt idx="732">
                  <c:v>-1.958542707E-3</c:v>
                </c:pt>
                <c:pt idx="733">
                  <c:v>-1.8580401959999999E-3</c:v>
                </c:pt>
                <c:pt idx="734">
                  <c:v>-1.4560301499999999E-3</c:v>
                </c:pt>
                <c:pt idx="735">
                  <c:v>-1.3555276380000001E-3</c:v>
                </c:pt>
                <c:pt idx="736">
                  <c:v>-2.5000001200000001E-4</c:v>
                </c:pt>
                <c:pt idx="737">
                  <c:v>-7.52512569E-4</c:v>
                </c:pt>
                <c:pt idx="738">
                  <c:v>-1.154522615E-3</c:v>
                </c:pt>
                <c:pt idx="739">
                  <c:v>-6.5201005800000005E-4</c:v>
                </c:pt>
                <c:pt idx="740">
                  <c:v>-1.0540201039999999E-3</c:v>
                </c:pt>
                <c:pt idx="741">
                  <c:v>-3.5050252300000001E-4</c:v>
                </c:pt>
                <c:pt idx="742">
                  <c:v>-3.5050252300000001E-4</c:v>
                </c:pt>
                <c:pt idx="743">
                  <c:v>-1.8580401959999999E-3</c:v>
                </c:pt>
                <c:pt idx="744">
                  <c:v>-2.3605527530000002E-3</c:v>
                </c:pt>
                <c:pt idx="745">
                  <c:v>-1.958542707E-3</c:v>
                </c:pt>
                <c:pt idx="746">
                  <c:v>-2.2600502419999999E-3</c:v>
                </c:pt>
                <c:pt idx="747">
                  <c:v>-2.2600502419999999E-3</c:v>
                </c:pt>
                <c:pt idx="748">
                  <c:v>-1.958542707E-3</c:v>
                </c:pt>
                <c:pt idx="749">
                  <c:v>-1.0540201039999999E-3</c:v>
                </c:pt>
                <c:pt idx="750">
                  <c:v>-1.4560301499999999E-3</c:v>
                </c:pt>
                <c:pt idx="751">
                  <c:v>-1.154522615E-3</c:v>
                </c:pt>
                <c:pt idx="752">
                  <c:v>-1.0540201039999999E-3</c:v>
                </c:pt>
                <c:pt idx="753">
                  <c:v>-3.5050252300000001E-4</c:v>
                </c:pt>
                <c:pt idx="754">
                  <c:v>-2.5000001200000001E-4</c:v>
                </c:pt>
                <c:pt idx="755">
                  <c:v>-2.5000001200000001E-4</c:v>
                </c:pt>
                <c:pt idx="756">
                  <c:v>-1.4949749999999999E-4</c:v>
                </c:pt>
                <c:pt idx="757">
                  <c:v>-1.4949749999999999E-4</c:v>
                </c:pt>
                <c:pt idx="758">
                  <c:v>-2.5000001200000001E-4</c:v>
                </c:pt>
                <c:pt idx="759">
                  <c:v>8.5552761399999996E-4</c:v>
                </c:pt>
                <c:pt idx="760">
                  <c:v>1.2575376599999999E-3</c:v>
                </c:pt>
                <c:pt idx="761">
                  <c:v>9.56030126E-4</c:v>
                </c:pt>
                <c:pt idx="762">
                  <c:v>5.5402008000000002E-4</c:v>
                </c:pt>
                <c:pt idx="763">
                  <c:v>5.5402008000000002E-4</c:v>
                </c:pt>
                <c:pt idx="764">
                  <c:v>1.52010034E-4</c:v>
                </c:pt>
                <c:pt idx="765">
                  <c:v>4.5351756900000002E-4</c:v>
                </c:pt>
                <c:pt idx="766">
                  <c:v>1.358040172E-3</c:v>
                </c:pt>
                <c:pt idx="767">
                  <c:v>1.52010034E-4</c:v>
                </c:pt>
                <c:pt idx="768">
                  <c:v>4.5351756900000002E-4</c:v>
                </c:pt>
                <c:pt idx="769">
                  <c:v>1.52010034E-4</c:v>
                </c:pt>
                <c:pt idx="770">
                  <c:v>-6.5201005800000005E-4</c:v>
                </c:pt>
                <c:pt idx="771">
                  <c:v>-7.52512569E-4</c:v>
                </c:pt>
                <c:pt idx="772">
                  <c:v>-6.5201005800000005E-4</c:v>
                </c:pt>
                <c:pt idx="773">
                  <c:v>-1.0540201039999999E-3</c:v>
                </c:pt>
                <c:pt idx="774">
                  <c:v>-6.5201005800000005E-4</c:v>
                </c:pt>
                <c:pt idx="775">
                  <c:v>-1.4560301499999999E-3</c:v>
                </c:pt>
                <c:pt idx="776">
                  <c:v>-1.958542707E-3</c:v>
                </c:pt>
                <c:pt idx="777">
                  <c:v>-2.6620602880000001E-3</c:v>
                </c:pt>
                <c:pt idx="778">
                  <c:v>-3.3655778679999998E-3</c:v>
                </c:pt>
                <c:pt idx="779">
                  <c:v>-2.6620602880000001E-3</c:v>
                </c:pt>
                <c:pt idx="780">
                  <c:v>-3.0640703329999999E-3</c:v>
                </c:pt>
                <c:pt idx="781">
                  <c:v>-2.5615577759999998E-3</c:v>
                </c:pt>
                <c:pt idx="782">
                  <c:v>-3.4660803790000001E-3</c:v>
                </c:pt>
                <c:pt idx="783">
                  <c:v>-3.8680904249999998E-3</c:v>
                </c:pt>
                <c:pt idx="784">
                  <c:v>-3.4660803790000001E-3</c:v>
                </c:pt>
                <c:pt idx="785">
                  <c:v>-2.7625627989999999E-3</c:v>
                </c:pt>
                <c:pt idx="786">
                  <c:v>-2.963567822E-3</c:v>
                </c:pt>
                <c:pt idx="787">
                  <c:v>-3.0640703329999999E-3</c:v>
                </c:pt>
                <c:pt idx="788">
                  <c:v>-3.4660803790000001E-3</c:v>
                </c:pt>
                <c:pt idx="789">
                  <c:v>-3.3655778679999998E-3</c:v>
                </c:pt>
                <c:pt idx="790">
                  <c:v>-3.9685929370000001E-3</c:v>
                </c:pt>
                <c:pt idx="791">
                  <c:v>-3.8680904249999998E-3</c:v>
                </c:pt>
                <c:pt idx="792">
                  <c:v>-4.1695979600000002E-3</c:v>
                </c:pt>
                <c:pt idx="793">
                  <c:v>-3.0640703329999999E-3</c:v>
                </c:pt>
                <c:pt idx="794">
                  <c:v>-2.5615577759999998E-3</c:v>
                </c:pt>
                <c:pt idx="795">
                  <c:v>-1.958542707E-3</c:v>
                </c:pt>
                <c:pt idx="796">
                  <c:v>-1.958542707E-3</c:v>
                </c:pt>
                <c:pt idx="797">
                  <c:v>-1.556532661E-3</c:v>
                </c:pt>
                <c:pt idx="798">
                  <c:v>-1.3555276380000001E-3</c:v>
                </c:pt>
                <c:pt idx="799">
                  <c:v>-6.5201005800000005E-4</c:v>
                </c:pt>
                <c:pt idx="800">
                  <c:v>-3.5050252300000001E-4</c:v>
                </c:pt>
                <c:pt idx="801">
                  <c:v>-3.5050252300000001E-4</c:v>
                </c:pt>
                <c:pt idx="802">
                  <c:v>4.5351756800000002E-4</c:v>
                </c:pt>
                <c:pt idx="803">
                  <c:v>5.5402008000000002E-4</c:v>
                </c:pt>
                <c:pt idx="804">
                  <c:v>5.5402008000000002E-4</c:v>
                </c:pt>
                <c:pt idx="805">
                  <c:v>2.5251254600000002E-4</c:v>
                </c:pt>
                <c:pt idx="806">
                  <c:v>5.1507522999999997E-5</c:v>
                </c:pt>
                <c:pt idx="807">
                  <c:v>-6.5201005800000005E-4</c:v>
                </c:pt>
                <c:pt idx="808">
                  <c:v>-1.556532661E-3</c:v>
                </c:pt>
                <c:pt idx="809">
                  <c:v>-1.8580401959999999E-3</c:v>
                </c:pt>
                <c:pt idx="810">
                  <c:v>-8.5301508100000005E-4</c:v>
                </c:pt>
                <c:pt idx="811">
                  <c:v>-1.4560301499999999E-3</c:v>
                </c:pt>
                <c:pt idx="812">
                  <c:v>-2.2600502419999999E-3</c:v>
                </c:pt>
                <c:pt idx="813">
                  <c:v>-1.8580401959999999E-3</c:v>
                </c:pt>
                <c:pt idx="814">
                  <c:v>-1.4560301499999999E-3</c:v>
                </c:pt>
                <c:pt idx="815">
                  <c:v>-1.958542707E-3</c:v>
                </c:pt>
                <c:pt idx="816">
                  <c:v>-9.5351759199999999E-4</c:v>
                </c:pt>
                <c:pt idx="817">
                  <c:v>-2.2600502419999999E-3</c:v>
                </c:pt>
                <c:pt idx="818">
                  <c:v>-2.2600502419999999E-3</c:v>
                </c:pt>
                <c:pt idx="819">
                  <c:v>-3.0640703329999999E-3</c:v>
                </c:pt>
                <c:pt idx="820">
                  <c:v>-3.3655778679999998E-3</c:v>
                </c:pt>
                <c:pt idx="821">
                  <c:v>-3.1645728450000001E-3</c:v>
                </c:pt>
                <c:pt idx="822">
                  <c:v>-4.1695979600000002E-3</c:v>
                </c:pt>
                <c:pt idx="823">
                  <c:v>-3.4660803790000001E-3</c:v>
                </c:pt>
                <c:pt idx="824">
                  <c:v>-3.8680904249999998E-3</c:v>
                </c:pt>
                <c:pt idx="825">
                  <c:v>-3.5665828909999999E-3</c:v>
                </c:pt>
                <c:pt idx="826">
                  <c:v>-3.0640703329999999E-3</c:v>
                </c:pt>
                <c:pt idx="827">
                  <c:v>-2.5615577759999998E-3</c:v>
                </c:pt>
                <c:pt idx="828">
                  <c:v>-1.0540201039999999E-3</c:v>
                </c:pt>
                <c:pt idx="829">
                  <c:v>-1.556532661E-3</c:v>
                </c:pt>
                <c:pt idx="830">
                  <c:v>-3.5050252300000001E-4</c:v>
                </c:pt>
                <c:pt idx="831">
                  <c:v>-1.3555276380000001E-3</c:v>
                </c:pt>
                <c:pt idx="832">
                  <c:v>1.52010034E-4</c:v>
                </c:pt>
                <c:pt idx="833">
                  <c:v>-4.8994988999999998E-5</c:v>
                </c:pt>
                <c:pt idx="834">
                  <c:v>5.5402008000000002E-4</c:v>
                </c:pt>
                <c:pt idx="835">
                  <c:v>8.5552761399999996E-4</c:v>
                </c:pt>
                <c:pt idx="836">
                  <c:v>2.0615577519999999E-3</c:v>
                </c:pt>
                <c:pt idx="837">
                  <c:v>1.0565326370000001E-3</c:v>
                </c:pt>
                <c:pt idx="838">
                  <c:v>9.56030126E-4</c:v>
                </c:pt>
                <c:pt idx="839">
                  <c:v>1.358040172E-3</c:v>
                </c:pt>
                <c:pt idx="840">
                  <c:v>2.4635677980000001E-3</c:v>
                </c:pt>
                <c:pt idx="841">
                  <c:v>2.1620602640000002E-3</c:v>
                </c:pt>
                <c:pt idx="842">
                  <c:v>1.2575376599999999E-3</c:v>
                </c:pt>
                <c:pt idx="843">
                  <c:v>1.52010034E-4</c:v>
                </c:pt>
                <c:pt idx="844">
                  <c:v>-1.4949749999999999E-4</c:v>
                </c:pt>
                <c:pt idx="845">
                  <c:v>1.52010034E-4</c:v>
                </c:pt>
                <c:pt idx="846">
                  <c:v>-1.4949749999999999E-4</c:v>
                </c:pt>
                <c:pt idx="847">
                  <c:v>-2.5000001200000001E-4</c:v>
                </c:pt>
                <c:pt idx="848">
                  <c:v>-1.0540201039999999E-3</c:v>
                </c:pt>
                <c:pt idx="849">
                  <c:v>-1.556532661E-3</c:v>
                </c:pt>
                <c:pt idx="850">
                  <c:v>-1.958542707E-3</c:v>
                </c:pt>
                <c:pt idx="851">
                  <c:v>-1.8580401959999999E-3</c:v>
                </c:pt>
                <c:pt idx="852">
                  <c:v>-2.3605527530000002E-3</c:v>
                </c:pt>
                <c:pt idx="853">
                  <c:v>-1.958542707E-3</c:v>
                </c:pt>
                <c:pt idx="854">
                  <c:v>-1.7575376840000001E-3</c:v>
                </c:pt>
                <c:pt idx="855">
                  <c:v>-1.0540201039999999E-3</c:v>
                </c:pt>
                <c:pt idx="856">
                  <c:v>-2.2600502419999999E-3</c:v>
                </c:pt>
                <c:pt idx="857">
                  <c:v>-3.0640703329999999E-3</c:v>
                </c:pt>
                <c:pt idx="858">
                  <c:v>-4.2701004710000001E-3</c:v>
                </c:pt>
                <c:pt idx="859">
                  <c:v>-4.7726130289999997E-3</c:v>
                </c:pt>
                <c:pt idx="860">
                  <c:v>-5.0741205629999996E-3</c:v>
                </c:pt>
                <c:pt idx="861">
                  <c:v>-4.1695979600000002E-3</c:v>
                </c:pt>
                <c:pt idx="862">
                  <c:v>-3.4660803790000001E-3</c:v>
                </c:pt>
                <c:pt idx="863">
                  <c:v>-4.6721105170000003E-3</c:v>
                </c:pt>
                <c:pt idx="864">
                  <c:v>-3.0640703329999999E-3</c:v>
                </c:pt>
                <c:pt idx="865">
                  <c:v>-3.1645728450000001E-3</c:v>
                </c:pt>
                <c:pt idx="866">
                  <c:v>-3.0640703329999999E-3</c:v>
                </c:pt>
                <c:pt idx="867">
                  <c:v>-1.4560301499999999E-3</c:v>
                </c:pt>
                <c:pt idx="868">
                  <c:v>-1.3555276380000001E-3</c:v>
                </c:pt>
                <c:pt idx="869">
                  <c:v>-1.0540201039999999E-3</c:v>
                </c:pt>
                <c:pt idx="870">
                  <c:v>-1.3555276380000001E-3</c:v>
                </c:pt>
                <c:pt idx="871">
                  <c:v>-1.154522615E-3</c:v>
                </c:pt>
                <c:pt idx="872">
                  <c:v>-1.4560301499999999E-3</c:v>
                </c:pt>
                <c:pt idx="873">
                  <c:v>-3.5050252300000001E-4</c:v>
                </c:pt>
                <c:pt idx="874">
                  <c:v>-2.5000001200000001E-4</c:v>
                </c:pt>
                <c:pt idx="875">
                  <c:v>-2.5000001200000001E-4</c:v>
                </c:pt>
                <c:pt idx="876">
                  <c:v>5.1507522999999997E-5</c:v>
                </c:pt>
                <c:pt idx="877">
                  <c:v>6.5452259199999996E-4</c:v>
                </c:pt>
                <c:pt idx="878">
                  <c:v>-1.4949749999999999E-4</c:v>
                </c:pt>
                <c:pt idx="879">
                  <c:v>1.52010034E-4</c:v>
                </c:pt>
                <c:pt idx="880">
                  <c:v>-4.8994988999999998E-5</c:v>
                </c:pt>
                <c:pt idx="881">
                  <c:v>4.5351756800000002E-4</c:v>
                </c:pt>
                <c:pt idx="882">
                  <c:v>1.52010034E-4</c:v>
                </c:pt>
                <c:pt idx="883">
                  <c:v>6.5452259199999996E-4</c:v>
                </c:pt>
                <c:pt idx="884">
                  <c:v>4.5351756800000002E-4</c:v>
                </c:pt>
                <c:pt idx="885">
                  <c:v>1.52010034E-4</c:v>
                </c:pt>
                <c:pt idx="886">
                  <c:v>1.52010034E-4</c:v>
                </c:pt>
                <c:pt idx="887">
                  <c:v>8.5552761399999996E-4</c:v>
                </c:pt>
                <c:pt idx="888">
                  <c:v>-2.5000001200000001E-4</c:v>
                </c:pt>
                <c:pt idx="889">
                  <c:v>5.1507522999999997E-5</c:v>
                </c:pt>
                <c:pt idx="890">
                  <c:v>-1.8580401959999999E-3</c:v>
                </c:pt>
                <c:pt idx="891">
                  <c:v>-1.4560301499999999E-3</c:v>
                </c:pt>
                <c:pt idx="892">
                  <c:v>-7.52512569E-4</c:v>
                </c:pt>
                <c:pt idx="893">
                  <c:v>6.5452259199999996E-4</c:v>
                </c:pt>
                <c:pt idx="894">
                  <c:v>5.1507522999999997E-5</c:v>
                </c:pt>
                <c:pt idx="895">
                  <c:v>-3.5050252300000001E-4</c:v>
                </c:pt>
                <c:pt idx="896">
                  <c:v>-9.5351759199999999E-4</c:v>
                </c:pt>
                <c:pt idx="897">
                  <c:v>-2.5000001200000001E-4</c:v>
                </c:pt>
                <c:pt idx="898">
                  <c:v>-2.5000001200000001E-4</c:v>
                </c:pt>
                <c:pt idx="899">
                  <c:v>-6.5201005800000005E-4</c:v>
                </c:pt>
                <c:pt idx="900">
                  <c:v>-1.154522615E-3</c:v>
                </c:pt>
                <c:pt idx="901">
                  <c:v>-2.0590452189999998E-3</c:v>
                </c:pt>
                <c:pt idx="902">
                  <c:v>-2.2600502419999999E-3</c:v>
                </c:pt>
                <c:pt idx="903">
                  <c:v>-1.154522615E-3</c:v>
                </c:pt>
                <c:pt idx="904">
                  <c:v>-9.5351759199999999E-4</c:v>
                </c:pt>
                <c:pt idx="905">
                  <c:v>-1.3555276380000001E-3</c:v>
                </c:pt>
                <c:pt idx="906">
                  <c:v>-1.0540201039999999E-3</c:v>
                </c:pt>
                <c:pt idx="907">
                  <c:v>-1.4560301499999999E-3</c:v>
                </c:pt>
                <c:pt idx="908">
                  <c:v>-1.958542707E-3</c:v>
                </c:pt>
                <c:pt idx="909">
                  <c:v>-2.6620602880000001E-3</c:v>
                </c:pt>
                <c:pt idx="910">
                  <c:v>-3.0640703329999999E-3</c:v>
                </c:pt>
                <c:pt idx="911">
                  <c:v>-1.958542707E-3</c:v>
                </c:pt>
                <c:pt idx="912">
                  <c:v>-2.1595477300000001E-3</c:v>
                </c:pt>
                <c:pt idx="913">
                  <c:v>-3.4660803790000001E-3</c:v>
                </c:pt>
                <c:pt idx="914">
                  <c:v>-3.0640703329999999E-3</c:v>
                </c:pt>
                <c:pt idx="915">
                  <c:v>-3.767587914E-3</c:v>
                </c:pt>
                <c:pt idx="916">
                  <c:v>-3.6670854020000002E-3</c:v>
                </c:pt>
                <c:pt idx="917">
                  <c:v>-3.4660803790000001E-3</c:v>
                </c:pt>
                <c:pt idx="918">
                  <c:v>-3.3655778679999998E-3</c:v>
                </c:pt>
                <c:pt idx="919">
                  <c:v>-2.7625627989999999E-3</c:v>
                </c:pt>
                <c:pt idx="920">
                  <c:v>-2.6620602880000001E-3</c:v>
                </c:pt>
                <c:pt idx="921">
                  <c:v>-2.3605527530000002E-3</c:v>
                </c:pt>
                <c:pt idx="922">
                  <c:v>-2.6620602880000001E-3</c:v>
                </c:pt>
                <c:pt idx="923">
                  <c:v>-2.1595477300000001E-3</c:v>
                </c:pt>
                <c:pt idx="924">
                  <c:v>-1.8580401959999999E-3</c:v>
                </c:pt>
                <c:pt idx="925">
                  <c:v>-1.4560301499999999E-3</c:v>
                </c:pt>
                <c:pt idx="926">
                  <c:v>-1.8580401959999999E-3</c:v>
                </c:pt>
                <c:pt idx="927">
                  <c:v>-1.8580401959999999E-3</c:v>
                </c:pt>
                <c:pt idx="928">
                  <c:v>-2.5000001200000001E-4</c:v>
                </c:pt>
                <c:pt idx="929">
                  <c:v>8.5552761399999996E-4</c:v>
                </c:pt>
                <c:pt idx="930">
                  <c:v>1.0565326370000001E-3</c:v>
                </c:pt>
                <c:pt idx="931">
                  <c:v>5.5402008000000002E-4</c:v>
                </c:pt>
                <c:pt idx="932">
                  <c:v>9.56030126E-4</c:v>
                </c:pt>
                <c:pt idx="933">
                  <c:v>8.5552761399999996E-4</c:v>
                </c:pt>
                <c:pt idx="934">
                  <c:v>1.358040172E-3</c:v>
                </c:pt>
                <c:pt idx="935">
                  <c:v>1.358040172E-3</c:v>
                </c:pt>
                <c:pt idx="936">
                  <c:v>5.1507522999999997E-5</c:v>
                </c:pt>
                <c:pt idx="937">
                  <c:v>-3.5050252300000001E-4</c:v>
                </c:pt>
                <c:pt idx="938">
                  <c:v>1.52010034E-4</c:v>
                </c:pt>
                <c:pt idx="939">
                  <c:v>1.52010034E-4</c:v>
                </c:pt>
                <c:pt idx="940">
                  <c:v>-5.51507546E-4</c:v>
                </c:pt>
                <c:pt idx="941">
                  <c:v>-1.0540201039999999E-3</c:v>
                </c:pt>
                <c:pt idx="942">
                  <c:v>-1.154522615E-3</c:v>
                </c:pt>
                <c:pt idx="943">
                  <c:v>-1.7575376840000001E-3</c:v>
                </c:pt>
                <c:pt idx="944">
                  <c:v>-2.7625627989999999E-3</c:v>
                </c:pt>
                <c:pt idx="945">
                  <c:v>-1.958542707E-3</c:v>
                </c:pt>
                <c:pt idx="946">
                  <c:v>-1.8580401959999999E-3</c:v>
                </c:pt>
                <c:pt idx="947">
                  <c:v>-1.0540201039999999E-3</c:v>
                </c:pt>
                <c:pt idx="948">
                  <c:v>-1.4560301499999999E-3</c:v>
                </c:pt>
                <c:pt idx="949">
                  <c:v>-7.52512569E-4</c:v>
                </c:pt>
                <c:pt idx="950">
                  <c:v>-3.5050252300000001E-4</c:v>
                </c:pt>
                <c:pt idx="951">
                  <c:v>-1.0540201039999999E-3</c:v>
                </c:pt>
                <c:pt idx="952">
                  <c:v>-1.0540201039999999E-3</c:v>
                </c:pt>
                <c:pt idx="953">
                  <c:v>-1.4560301499999999E-3</c:v>
                </c:pt>
                <c:pt idx="954">
                  <c:v>-1.3555276380000001E-3</c:v>
                </c:pt>
                <c:pt idx="955">
                  <c:v>-1.556532661E-3</c:v>
                </c:pt>
                <c:pt idx="956">
                  <c:v>-1.0540201039999999E-3</c:v>
                </c:pt>
                <c:pt idx="957">
                  <c:v>-1.7575376840000001E-3</c:v>
                </c:pt>
                <c:pt idx="958">
                  <c:v>-1.7575376840000001E-3</c:v>
                </c:pt>
                <c:pt idx="959">
                  <c:v>-1.8580401959999999E-3</c:v>
                </c:pt>
                <c:pt idx="960">
                  <c:v>-1.7575376840000001E-3</c:v>
                </c:pt>
                <c:pt idx="961">
                  <c:v>-1.958542707E-3</c:v>
                </c:pt>
                <c:pt idx="962">
                  <c:v>-1.556532661E-3</c:v>
                </c:pt>
                <c:pt idx="963">
                  <c:v>-1.0540201039999999E-3</c:v>
                </c:pt>
                <c:pt idx="964">
                  <c:v>-6.5201005800000005E-4</c:v>
                </c:pt>
                <c:pt idx="965">
                  <c:v>5.1507522999999997E-5</c:v>
                </c:pt>
                <c:pt idx="966">
                  <c:v>4.5351756800000002E-4</c:v>
                </c:pt>
                <c:pt idx="967">
                  <c:v>-1.4949749999999999E-4</c:v>
                </c:pt>
                <c:pt idx="968">
                  <c:v>1.52010034E-4</c:v>
                </c:pt>
                <c:pt idx="969">
                  <c:v>7.5502510300000001E-4</c:v>
                </c:pt>
                <c:pt idx="970">
                  <c:v>5.1507522999999997E-5</c:v>
                </c:pt>
                <c:pt idx="971">
                  <c:v>1.0565326370000001E-3</c:v>
                </c:pt>
                <c:pt idx="972">
                  <c:v>1.358040172E-3</c:v>
                </c:pt>
                <c:pt idx="973">
                  <c:v>6.5452259199999996E-4</c:v>
                </c:pt>
                <c:pt idx="974">
                  <c:v>9.56030126E-4</c:v>
                </c:pt>
                <c:pt idx="975">
                  <c:v>5.1507522999999997E-5</c:v>
                </c:pt>
                <c:pt idx="976">
                  <c:v>1.52010034E-4</c:v>
                </c:pt>
                <c:pt idx="977">
                  <c:v>-3.5050252300000001E-4</c:v>
                </c:pt>
                <c:pt idx="978">
                  <c:v>-9.5351759199999999E-4</c:v>
                </c:pt>
                <c:pt idx="979">
                  <c:v>5.1507522999999997E-5</c:v>
                </c:pt>
                <c:pt idx="980">
                  <c:v>-1.4949749999999999E-4</c:v>
                </c:pt>
                <c:pt idx="981">
                  <c:v>-6.5201005800000005E-4</c:v>
                </c:pt>
                <c:pt idx="982">
                  <c:v>-1.154522615E-3</c:v>
                </c:pt>
                <c:pt idx="983">
                  <c:v>-2.6620602880000001E-3</c:v>
                </c:pt>
                <c:pt idx="984">
                  <c:v>-2.7625627989999999E-3</c:v>
                </c:pt>
                <c:pt idx="985">
                  <c:v>-2.3605527530000002E-3</c:v>
                </c:pt>
                <c:pt idx="986">
                  <c:v>-2.6620602880000001E-3</c:v>
                </c:pt>
                <c:pt idx="987">
                  <c:v>-2.6620602880000001E-3</c:v>
                </c:pt>
                <c:pt idx="988">
                  <c:v>-3.767587914E-3</c:v>
                </c:pt>
                <c:pt idx="989">
                  <c:v>-4.2701004710000001E-3</c:v>
                </c:pt>
                <c:pt idx="990">
                  <c:v>-5.0741205629999996E-3</c:v>
                </c:pt>
                <c:pt idx="991">
                  <c:v>-4.2701004710000001E-3</c:v>
                </c:pt>
                <c:pt idx="992">
                  <c:v>-5.0741205629999996E-3</c:v>
                </c:pt>
                <c:pt idx="993">
                  <c:v>-5.0741205629999996E-3</c:v>
                </c:pt>
                <c:pt idx="994">
                  <c:v>-4.6721105170000003E-3</c:v>
                </c:pt>
                <c:pt idx="995">
                  <c:v>-4.7726130289999997E-3</c:v>
                </c:pt>
                <c:pt idx="996">
                  <c:v>-4.4711054940000002E-3</c:v>
                </c:pt>
                <c:pt idx="997">
                  <c:v>-4.6721105170000003E-3</c:v>
                </c:pt>
                <c:pt idx="998">
                  <c:v>-4.2701004710000001E-3</c:v>
                </c:pt>
                <c:pt idx="999">
                  <c:v>-4.6721105170000003E-3</c:v>
                </c:pt>
                <c:pt idx="1000">
                  <c:v>-4.2701004710000001E-3</c:v>
                </c:pt>
                <c:pt idx="1001">
                  <c:v>-4.2701004710000001E-3</c:v>
                </c:pt>
                <c:pt idx="1002">
                  <c:v>-3.8680904249999998E-3</c:v>
                </c:pt>
                <c:pt idx="1003">
                  <c:v>-3.0640703329999999E-3</c:v>
                </c:pt>
                <c:pt idx="1004">
                  <c:v>-2.963567822E-3</c:v>
                </c:pt>
                <c:pt idx="1005">
                  <c:v>-3.4660803790000001E-3</c:v>
                </c:pt>
                <c:pt idx="1006">
                  <c:v>-3.1645728450000001E-3</c:v>
                </c:pt>
                <c:pt idx="1007">
                  <c:v>-3.4660803790000001E-3</c:v>
                </c:pt>
                <c:pt idx="1008">
                  <c:v>-3.0640703329999999E-3</c:v>
                </c:pt>
                <c:pt idx="1009">
                  <c:v>-1.958542707E-3</c:v>
                </c:pt>
                <c:pt idx="1010">
                  <c:v>-2.2600502419999999E-3</c:v>
                </c:pt>
                <c:pt idx="1011">
                  <c:v>-1.8580401959999999E-3</c:v>
                </c:pt>
                <c:pt idx="1012">
                  <c:v>-1.4560301499999999E-3</c:v>
                </c:pt>
                <c:pt idx="1013">
                  <c:v>-2.963567822E-3</c:v>
                </c:pt>
                <c:pt idx="1014">
                  <c:v>-2.6620602880000001E-3</c:v>
                </c:pt>
                <c:pt idx="1015">
                  <c:v>-1.958542707E-3</c:v>
                </c:pt>
                <c:pt idx="1016">
                  <c:v>-9.5351759199999999E-4</c:v>
                </c:pt>
                <c:pt idx="1017">
                  <c:v>-3.5050252300000001E-4</c:v>
                </c:pt>
                <c:pt idx="1018">
                  <c:v>-7.52512569E-4</c:v>
                </c:pt>
                <c:pt idx="1019">
                  <c:v>-3.5050252300000001E-4</c:v>
                </c:pt>
                <c:pt idx="1020">
                  <c:v>5.1507522999999997E-5</c:v>
                </c:pt>
                <c:pt idx="1021">
                  <c:v>1.1570351490000001E-3</c:v>
                </c:pt>
                <c:pt idx="1022">
                  <c:v>6.5452259199999996E-4</c:v>
                </c:pt>
                <c:pt idx="1023">
                  <c:v>1.2575376599999999E-3</c:v>
                </c:pt>
                <c:pt idx="1024">
                  <c:v>1.358040172E-3</c:v>
                </c:pt>
                <c:pt idx="1025">
                  <c:v>5.5402008000000002E-4</c:v>
                </c:pt>
                <c:pt idx="1026">
                  <c:v>9.56030126E-4</c:v>
                </c:pt>
                <c:pt idx="1027">
                  <c:v>4.5351756800000002E-4</c:v>
                </c:pt>
                <c:pt idx="1028">
                  <c:v>9.56030126E-4</c:v>
                </c:pt>
                <c:pt idx="1029">
                  <c:v>5.5402008000000002E-4</c:v>
                </c:pt>
                <c:pt idx="1030">
                  <c:v>5.5402008000000002E-4</c:v>
                </c:pt>
                <c:pt idx="1031">
                  <c:v>6.5452259199999996E-4</c:v>
                </c:pt>
                <c:pt idx="1032">
                  <c:v>-1.4949749999999999E-4</c:v>
                </c:pt>
                <c:pt idx="1033">
                  <c:v>-2.5000001200000001E-4</c:v>
                </c:pt>
                <c:pt idx="1034">
                  <c:v>4.5351756800000002E-4</c:v>
                </c:pt>
                <c:pt idx="1035">
                  <c:v>-2.5000001200000001E-4</c:v>
                </c:pt>
                <c:pt idx="1036">
                  <c:v>4.5351756800000002E-4</c:v>
                </c:pt>
                <c:pt idx="1037">
                  <c:v>5.5402008000000002E-4</c:v>
                </c:pt>
                <c:pt idx="1038">
                  <c:v>2.5251254600000002E-4</c:v>
                </c:pt>
                <c:pt idx="1039">
                  <c:v>1.52010034E-4</c:v>
                </c:pt>
                <c:pt idx="1040">
                  <c:v>-6.5201005800000005E-4</c:v>
                </c:pt>
                <c:pt idx="1041">
                  <c:v>-1.0540201039999999E-3</c:v>
                </c:pt>
                <c:pt idx="1042">
                  <c:v>-2.1595477300000001E-3</c:v>
                </c:pt>
                <c:pt idx="1043">
                  <c:v>-2.3605527530000002E-3</c:v>
                </c:pt>
                <c:pt idx="1044">
                  <c:v>-1.958542707E-3</c:v>
                </c:pt>
                <c:pt idx="1045">
                  <c:v>-1.8580401959999999E-3</c:v>
                </c:pt>
                <c:pt idx="1046">
                  <c:v>-1.8580401959999999E-3</c:v>
                </c:pt>
                <c:pt idx="1047">
                  <c:v>-1.4560301499999999E-3</c:v>
                </c:pt>
                <c:pt idx="1048">
                  <c:v>-1.7575376840000001E-3</c:v>
                </c:pt>
                <c:pt idx="1049">
                  <c:v>-3.1645728450000001E-3</c:v>
                </c:pt>
                <c:pt idx="1050">
                  <c:v>-2.2600502419999999E-3</c:v>
                </c:pt>
                <c:pt idx="1051">
                  <c:v>-1.556532661E-3</c:v>
                </c:pt>
                <c:pt idx="1052">
                  <c:v>-1.4560301499999999E-3</c:v>
                </c:pt>
                <c:pt idx="1053">
                  <c:v>-1.3555276380000001E-3</c:v>
                </c:pt>
                <c:pt idx="1054">
                  <c:v>-1.8580401959999999E-3</c:v>
                </c:pt>
                <c:pt idx="1055">
                  <c:v>-2.1595477300000001E-3</c:v>
                </c:pt>
                <c:pt idx="1056">
                  <c:v>-1.8580401959999999E-3</c:v>
                </c:pt>
                <c:pt idx="1057">
                  <c:v>-6.5201005800000005E-4</c:v>
                </c:pt>
                <c:pt idx="1058">
                  <c:v>-6.5201005800000005E-4</c:v>
                </c:pt>
                <c:pt idx="1059">
                  <c:v>-1.556532661E-3</c:v>
                </c:pt>
                <c:pt idx="1060">
                  <c:v>-1.0540201039999999E-3</c:v>
                </c:pt>
                <c:pt idx="1061">
                  <c:v>-6.5201005800000005E-4</c:v>
                </c:pt>
                <c:pt idx="1062">
                  <c:v>-3.5050252300000001E-4</c:v>
                </c:pt>
                <c:pt idx="1063">
                  <c:v>-6.5201005800000005E-4</c:v>
                </c:pt>
                <c:pt idx="1064">
                  <c:v>-3.5050252300000001E-4</c:v>
                </c:pt>
                <c:pt idx="1065">
                  <c:v>-9.5351759199999999E-4</c:v>
                </c:pt>
                <c:pt idx="1066">
                  <c:v>-1.154522615E-3</c:v>
                </c:pt>
                <c:pt idx="1067">
                  <c:v>-2.5000001200000001E-4</c:v>
                </c:pt>
                <c:pt idx="1068">
                  <c:v>-3.5050252300000001E-4</c:v>
                </c:pt>
                <c:pt idx="1069">
                  <c:v>5.1507522999999997E-5</c:v>
                </c:pt>
                <c:pt idx="1070">
                  <c:v>2.5251254600000002E-4</c:v>
                </c:pt>
                <c:pt idx="1071">
                  <c:v>-6.5201005800000005E-4</c:v>
                </c:pt>
                <c:pt idx="1072">
                  <c:v>-8.5301508100000005E-4</c:v>
                </c:pt>
                <c:pt idx="1073">
                  <c:v>-4.5100503500000001E-4</c:v>
                </c:pt>
                <c:pt idx="1074">
                  <c:v>-1.4560301499999999E-3</c:v>
                </c:pt>
                <c:pt idx="1075">
                  <c:v>-2.1595477300000001E-3</c:v>
                </c:pt>
                <c:pt idx="1076">
                  <c:v>-2.2600502419999999E-3</c:v>
                </c:pt>
                <c:pt idx="1077">
                  <c:v>-7.52512569E-4</c:v>
                </c:pt>
                <c:pt idx="1078">
                  <c:v>-1.0540201039999999E-3</c:v>
                </c:pt>
                <c:pt idx="1079">
                  <c:v>-1.0540201039999999E-3</c:v>
                </c:pt>
                <c:pt idx="1080">
                  <c:v>-9.5351759199999999E-4</c:v>
                </c:pt>
                <c:pt idx="1081">
                  <c:v>-4.5100503500000001E-4</c:v>
                </c:pt>
                <c:pt idx="1082">
                  <c:v>-1.0540201039999999E-3</c:v>
                </c:pt>
                <c:pt idx="1083">
                  <c:v>-3.5050252300000001E-4</c:v>
                </c:pt>
                <c:pt idx="1084">
                  <c:v>-1.4560301499999999E-3</c:v>
                </c:pt>
                <c:pt idx="1085">
                  <c:v>-1.4560301499999999E-3</c:v>
                </c:pt>
                <c:pt idx="1086">
                  <c:v>-2.1595477300000001E-3</c:v>
                </c:pt>
                <c:pt idx="1087">
                  <c:v>-1.7575376840000001E-3</c:v>
                </c:pt>
                <c:pt idx="1088">
                  <c:v>-6.5201005800000005E-4</c:v>
                </c:pt>
                <c:pt idx="1089">
                  <c:v>-6.5201005800000005E-4</c:v>
                </c:pt>
                <c:pt idx="1090">
                  <c:v>-6.5201005800000005E-4</c:v>
                </c:pt>
                <c:pt idx="1091">
                  <c:v>-2.5000001200000001E-4</c:v>
                </c:pt>
                <c:pt idx="1092">
                  <c:v>1.52010034E-4</c:v>
                </c:pt>
                <c:pt idx="1093">
                  <c:v>1.52010034E-4</c:v>
                </c:pt>
                <c:pt idx="1094">
                  <c:v>1.52010034E-4</c:v>
                </c:pt>
                <c:pt idx="1095">
                  <c:v>5.1507522999999997E-5</c:v>
                </c:pt>
                <c:pt idx="1096">
                  <c:v>9.56030126E-4</c:v>
                </c:pt>
                <c:pt idx="1097">
                  <c:v>8.5552761399999996E-4</c:v>
                </c:pt>
                <c:pt idx="1098">
                  <c:v>9.56030126E-4</c:v>
                </c:pt>
                <c:pt idx="1099">
                  <c:v>1.52010034E-4</c:v>
                </c:pt>
                <c:pt idx="1100">
                  <c:v>-1.4949749999999999E-4</c:v>
                </c:pt>
                <c:pt idx="1101">
                  <c:v>-1.3555276380000001E-3</c:v>
                </c:pt>
                <c:pt idx="1102">
                  <c:v>-1.0540201039999999E-3</c:v>
                </c:pt>
                <c:pt idx="1103">
                  <c:v>-9.5351759199999999E-4</c:v>
                </c:pt>
                <c:pt idx="1104">
                  <c:v>-2.5000001200000001E-4</c:v>
                </c:pt>
                <c:pt idx="1105">
                  <c:v>-2.5000001200000001E-4</c:v>
                </c:pt>
                <c:pt idx="1106">
                  <c:v>-8.5301508100000005E-4</c:v>
                </c:pt>
                <c:pt idx="1107">
                  <c:v>-6.5201005800000005E-4</c:v>
                </c:pt>
                <c:pt idx="1108">
                  <c:v>-1.0540201039999999E-3</c:v>
                </c:pt>
                <c:pt idx="1109">
                  <c:v>-1.3555276380000001E-3</c:v>
                </c:pt>
                <c:pt idx="1110">
                  <c:v>-1.7575376840000001E-3</c:v>
                </c:pt>
                <c:pt idx="1111">
                  <c:v>-1.8580401959999999E-3</c:v>
                </c:pt>
                <c:pt idx="1112">
                  <c:v>-1.8580401959999999E-3</c:v>
                </c:pt>
                <c:pt idx="1113">
                  <c:v>-2.7625627989999999E-3</c:v>
                </c:pt>
                <c:pt idx="1114">
                  <c:v>-3.0640703329999999E-3</c:v>
                </c:pt>
                <c:pt idx="1115">
                  <c:v>-3.9685929370000001E-3</c:v>
                </c:pt>
                <c:pt idx="1116">
                  <c:v>-3.5665828909999999E-3</c:v>
                </c:pt>
                <c:pt idx="1117">
                  <c:v>-3.1645728450000001E-3</c:v>
                </c:pt>
                <c:pt idx="1118">
                  <c:v>-3.5665828909999999E-3</c:v>
                </c:pt>
                <c:pt idx="1119">
                  <c:v>-3.4660803790000001E-3</c:v>
                </c:pt>
                <c:pt idx="1120">
                  <c:v>-3.3655778679999998E-3</c:v>
                </c:pt>
                <c:pt idx="1121">
                  <c:v>-3.1645728450000001E-3</c:v>
                </c:pt>
                <c:pt idx="1122">
                  <c:v>-2.5615577759999998E-3</c:v>
                </c:pt>
                <c:pt idx="1123">
                  <c:v>-3.8680904249999998E-3</c:v>
                </c:pt>
                <c:pt idx="1124">
                  <c:v>-2.2600502419999999E-3</c:v>
                </c:pt>
                <c:pt idx="1125">
                  <c:v>-3.0640703329999999E-3</c:v>
                </c:pt>
                <c:pt idx="1126">
                  <c:v>-2.6620602880000001E-3</c:v>
                </c:pt>
                <c:pt idx="1127">
                  <c:v>-1.556532661E-3</c:v>
                </c:pt>
                <c:pt idx="1128">
                  <c:v>-1.8580401959999999E-3</c:v>
                </c:pt>
                <c:pt idx="1129">
                  <c:v>-1.958542707E-3</c:v>
                </c:pt>
                <c:pt idx="1130">
                  <c:v>-1.4560301499999999E-3</c:v>
                </c:pt>
                <c:pt idx="1131">
                  <c:v>-1.657035173E-3</c:v>
                </c:pt>
                <c:pt idx="1132">
                  <c:v>-6.5201005800000005E-4</c:v>
                </c:pt>
                <c:pt idx="1133">
                  <c:v>-1.0540201039999999E-3</c:v>
                </c:pt>
                <c:pt idx="1134">
                  <c:v>-1.0540201039999999E-3</c:v>
                </c:pt>
                <c:pt idx="1135">
                  <c:v>-1.4560301499999999E-3</c:v>
                </c:pt>
                <c:pt idx="1136">
                  <c:v>-1.7575376840000001E-3</c:v>
                </c:pt>
                <c:pt idx="1137">
                  <c:v>-1.154522615E-3</c:v>
                </c:pt>
                <c:pt idx="1138">
                  <c:v>-1.154522615E-3</c:v>
                </c:pt>
                <c:pt idx="1139">
                  <c:v>-1.8580401959999999E-3</c:v>
                </c:pt>
                <c:pt idx="1140">
                  <c:v>-1.154522615E-3</c:v>
                </c:pt>
                <c:pt idx="1141">
                  <c:v>-1.8580401959999999E-3</c:v>
                </c:pt>
                <c:pt idx="1142">
                  <c:v>-1.556532661E-3</c:v>
                </c:pt>
                <c:pt idx="1143">
                  <c:v>-1.556532661E-3</c:v>
                </c:pt>
                <c:pt idx="1144">
                  <c:v>-1.154522615E-3</c:v>
                </c:pt>
                <c:pt idx="1145">
                  <c:v>-7.52512569E-4</c:v>
                </c:pt>
                <c:pt idx="1146">
                  <c:v>-1.556532661E-3</c:v>
                </c:pt>
                <c:pt idx="1147">
                  <c:v>-2.5615577759999998E-3</c:v>
                </c:pt>
                <c:pt idx="1148">
                  <c:v>-2.2600502419999999E-3</c:v>
                </c:pt>
                <c:pt idx="1149">
                  <c:v>-1.958542707E-3</c:v>
                </c:pt>
                <c:pt idx="1150">
                  <c:v>-1.958542707E-3</c:v>
                </c:pt>
                <c:pt idx="1151">
                  <c:v>-2.3605527530000002E-3</c:v>
                </c:pt>
                <c:pt idx="1152">
                  <c:v>-1.4560301499999999E-3</c:v>
                </c:pt>
                <c:pt idx="1153">
                  <c:v>-1.154522615E-3</c:v>
                </c:pt>
                <c:pt idx="1154">
                  <c:v>-1.8580401959999999E-3</c:v>
                </c:pt>
                <c:pt idx="1155">
                  <c:v>-1.4560301499999999E-3</c:v>
                </c:pt>
                <c:pt idx="1156">
                  <c:v>-1.4560301499999999E-3</c:v>
                </c:pt>
                <c:pt idx="1157">
                  <c:v>-1.0540201039999999E-3</c:v>
                </c:pt>
                <c:pt idx="1158">
                  <c:v>-7.52512569E-4</c:v>
                </c:pt>
                <c:pt idx="1159">
                  <c:v>-6.5201005800000005E-4</c:v>
                </c:pt>
                <c:pt idx="1160">
                  <c:v>-1.0540201039999999E-3</c:v>
                </c:pt>
                <c:pt idx="1161">
                  <c:v>-6.5201005800000005E-4</c:v>
                </c:pt>
                <c:pt idx="1162">
                  <c:v>-2.5000001200000001E-4</c:v>
                </c:pt>
                <c:pt idx="1163">
                  <c:v>5.1507522999999997E-5</c:v>
                </c:pt>
                <c:pt idx="1164">
                  <c:v>-6.5201005800000005E-4</c:v>
                </c:pt>
                <c:pt idx="1165">
                  <c:v>1.52010034E-4</c:v>
                </c:pt>
                <c:pt idx="1166">
                  <c:v>-1.4949749999999999E-4</c:v>
                </c:pt>
                <c:pt idx="1167">
                  <c:v>-4.5100503500000001E-4</c:v>
                </c:pt>
                <c:pt idx="1168">
                  <c:v>8.5552761399999996E-4</c:v>
                </c:pt>
                <c:pt idx="1169">
                  <c:v>-6.5201005800000005E-4</c:v>
                </c:pt>
                <c:pt idx="1170">
                  <c:v>-1.4560301499999999E-3</c:v>
                </c:pt>
                <c:pt idx="1171">
                  <c:v>-1.3555276380000001E-3</c:v>
                </c:pt>
                <c:pt idx="1172">
                  <c:v>-3.5050252300000001E-4</c:v>
                </c:pt>
                <c:pt idx="1173">
                  <c:v>-7.52512569E-4</c:v>
                </c:pt>
                <c:pt idx="1174">
                  <c:v>-1.3555276380000001E-3</c:v>
                </c:pt>
                <c:pt idx="1175">
                  <c:v>-1.4560301499999999E-3</c:v>
                </c:pt>
                <c:pt idx="1176">
                  <c:v>-6.5201005800000005E-4</c:v>
                </c:pt>
                <c:pt idx="1177">
                  <c:v>-1.4560301499999999E-3</c:v>
                </c:pt>
                <c:pt idx="1178">
                  <c:v>-1.255025127E-3</c:v>
                </c:pt>
                <c:pt idx="1179">
                  <c:v>-1.8580401959999999E-3</c:v>
                </c:pt>
                <c:pt idx="1180">
                  <c:v>-2.5615577759999998E-3</c:v>
                </c:pt>
                <c:pt idx="1181">
                  <c:v>-4.5100503500000001E-4</c:v>
                </c:pt>
                <c:pt idx="1182">
                  <c:v>-2.3605527530000002E-3</c:v>
                </c:pt>
                <c:pt idx="1183">
                  <c:v>-2.2600502419999999E-3</c:v>
                </c:pt>
                <c:pt idx="1184">
                  <c:v>-6.5201005800000005E-4</c:v>
                </c:pt>
                <c:pt idx="1185">
                  <c:v>-7.52512569E-4</c:v>
                </c:pt>
                <c:pt idx="1186">
                  <c:v>-8.5301508100000005E-4</c:v>
                </c:pt>
                <c:pt idx="1187">
                  <c:v>-6.5201005800000005E-4</c:v>
                </c:pt>
                <c:pt idx="1188">
                  <c:v>-6.5201005800000005E-4</c:v>
                </c:pt>
                <c:pt idx="1189">
                  <c:v>1.52010034E-4</c:v>
                </c:pt>
                <c:pt idx="1190">
                  <c:v>5.5402008000000002E-4</c:v>
                </c:pt>
                <c:pt idx="1191">
                  <c:v>2.5251254600000002E-4</c:v>
                </c:pt>
                <c:pt idx="1192">
                  <c:v>1.52010034E-4</c:v>
                </c:pt>
                <c:pt idx="1193">
                  <c:v>9.56030126E-4</c:v>
                </c:pt>
                <c:pt idx="1194">
                  <c:v>9.56030126E-4</c:v>
                </c:pt>
                <c:pt idx="1195">
                  <c:v>8.5552761399999996E-4</c:v>
                </c:pt>
                <c:pt idx="1196">
                  <c:v>5.1507522999999997E-5</c:v>
                </c:pt>
                <c:pt idx="1197">
                  <c:v>1.52010034E-4</c:v>
                </c:pt>
                <c:pt idx="1198">
                  <c:v>1.52010034E-4</c:v>
                </c:pt>
                <c:pt idx="1199">
                  <c:v>-2.5000001200000001E-4</c:v>
                </c:pt>
                <c:pt idx="1200">
                  <c:v>-1.4949749999999999E-4</c:v>
                </c:pt>
                <c:pt idx="1201">
                  <c:v>-3.5050252300000001E-4</c:v>
                </c:pt>
                <c:pt idx="1202">
                  <c:v>-2.5000001200000001E-4</c:v>
                </c:pt>
                <c:pt idx="1203">
                  <c:v>-1.7575376840000001E-3</c:v>
                </c:pt>
                <c:pt idx="1204">
                  <c:v>-1.154522615E-3</c:v>
                </c:pt>
                <c:pt idx="1205">
                  <c:v>-1.958542707E-3</c:v>
                </c:pt>
                <c:pt idx="1206">
                  <c:v>-2.1595477300000001E-3</c:v>
                </c:pt>
                <c:pt idx="1207">
                  <c:v>-1.958542707E-3</c:v>
                </c:pt>
                <c:pt idx="1208">
                  <c:v>-2.6620602880000001E-3</c:v>
                </c:pt>
                <c:pt idx="1209">
                  <c:v>-1.958542707E-3</c:v>
                </c:pt>
                <c:pt idx="1210">
                  <c:v>-2.5615577759999998E-3</c:v>
                </c:pt>
                <c:pt idx="1211">
                  <c:v>-3.1645728450000001E-3</c:v>
                </c:pt>
                <c:pt idx="1212">
                  <c:v>-2.6620602880000001E-3</c:v>
                </c:pt>
                <c:pt idx="1213">
                  <c:v>-2.2600502419999999E-3</c:v>
                </c:pt>
                <c:pt idx="1214">
                  <c:v>-2.5615577759999998E-3</c:v>
                </c:pt>
                <c:pt idx="1215">
                  <c:v>-1.556532661E-3</c:v>
                </c:pt>
                <c:pt idx="1216">
                  <c:v>-1.4560301499999999E-3</c:v>
                </c:pt>
                <c:pt idx="1217">
                  <c:v>-2.6620602880000001E-3</c:v>
                </c:pt>
                <c:pt idx="1218">
                  <c:v>-2.2600502419999999E-3</c:v>
                </c:pt>
                <c:pt idx="1219">
                  <c:v>-2.6620602880000001E-3</c:v>
                </c:pt>
                <c:pt idx="1220">
                  <c:v>-1.4560301499999999E-3</c:v>
                </c:pt>
                <c:pt idx="1221">
                  <c:v>-8.5301508100000005E-4</c:v>
                </c:pt>
                <c:pt idx="1222">
                  <c:v>-1.4560301499999999E-3</c:v>
                </c:pt>
                <c:pt idx="1223">
                  <c:v>-1.4560301499999999E-3</c:v>
                </c:pt>
                <c:pt idx="1224">
                  <c:v>-1.0540201039999999E-3</c:v>
                </c:pt>
                <c:pt idx="1225">
                  <c:v>-4.5100503500000001E-4</c:v>
                </c:pt>
                <c:pt idx="1226">
                  <c:v>-3.5050252300000001E-4</c:v>
                </c:pt>
                <c:pt idx="1227">
                  <c:v>-6.5201005800000005E-4</c:v>
                </c:pt>
                <c:pt idx="1228">
                  <c:v>-5.51507546E-4</c:v>
                </c:pt>
                <c:pt idx="1229">
                  <c:v>-6.5201005800000005E-4</c:v>
                </c:pt>
                <c:pt idx="1230">
                  <c:v>-3.5050252300000001E-4</c:v>
                </c:pt>
                <c:pt idx="1231">
                  <c:v>-3.5050252300000001E-4</c:v>
                </c:pt>
                <c:pt idx="1232">
                  <c:v>1.52010034E-4</c:v>
                </c:pt>
                <c:pt idx="1233">
                  <c:v>-6.5201005800000005E-4</c:v>
                </c:pt>
                <c:pt idx="1234">
                  <c:v>-1.4560301499999999E-3</c:v>
                </c:pt>
                <c:pt idx="1235">
                  <c:v>-9.5351759199999999E-4</c:v>
                </c:pt>
                <c:pt idx="1236">
                  <c:v>-1.0540201039999999E-3</c:v>
                </c:pt>
                <c:pt idx="1237">
                  <c:v>-1.0540201039999999E-3</c:v>
                </c:pt>
                <c:pt idx="1238">
                  <c:v>-1.4560301499999999E-3</c:v>
                </c:pt>
                <c:pt idx="1239">
                  <c:v>-1.4560301499999999E-3</c:v>
                </c:pt>
                <c:pt idx="1240">
                  <c:v>-1.4560301499999999E-3</c:v>
                </c:pt>
                <c:pt idx="1241">
                  <c:v>-7.52512569E-4</c:v>
                </c:pt>
                <c:pt idx="1242">
                  <c:v>-1.8580401959999999E-3</c:v>
                </c:pt>
                <c:pt idx="1243">
                  <c:v>-1.4560301499999999E-3</c:v>
                </c:pt>
                <c:pt idx="1244">
                  <c:v>-1.0540201039999999E-3</c:v>
                </c:pt>
                <c:pt idx="1245">
                  <c:v>-3.5050252300000001E-4</c:v>
                </c:pt>
                <c:pt idx="1246">
                  <c:v>-2.5000001200000001E-4</c:v>
                </c:pt>
                <c:pt idx="1247">
                  <c:v>5.1507522999999997E-5</c:v>
                </c:pt>
                <c:pt idx="1248">
                  <c:v>1.52010034E-4</c:v>
                </c:pt>
                <c:pt idx="1249">
                  <c:v>-3.5050252300000001E-4</c:v>
                </c:pt>
                <c:pt idx="1250">
                  <c:v>-6.5201005800000005E-4</c:v>
                </c:pt>
                <c:pt idx="1251">
                  <c:v>-1.0540201039999999E-3</c:v>
                </c:pt>
                <c:pt idx="1252">
                  <c:v>-3.5050252300000001E-4</c:v>
                </c:pt>
                <c:pt idx="1253">
                  <c:v>-1.556532661E-3</c:v>
                </c:pt>
                <c:pt idx="1254">
                  <c:v>-1.8580401959999999E-3</c:v>
                </c:pt>
                <c:pt idx="1255">
                  <c:v>-3.0640703329999999E-3</c:v>
                </c:pt>
                <c:pt idx="1256">
                  <c:v>-3.9685929370000001E-3</c:v>
                </c:pt>
                <c:pt idx="1257">
                  <c:v>-4.2701004710000001E-3</c:v>
                </c:pt>
                <c:pt idx="1258">
                  <c:v>-4.1695979600000002E-3</c:v>
                </c:pt>
                <c:pt idx="1259">
                  <c:v>-3.8680904249999998E-3</c:v>
                </c:pt>
                <c:pt idx="1260">
                  <c:v>-3.3655778679999998E-3</c:v>
                </c:pt>
                <c:pt idx="1261">
                  <c:v>-2.3605527530000002E-3</c:v>
                </c:pt>
                <c:pt idx="1262">
                  <c:v>-2.6620602880000001E-3</c:v>
                </c:pt>
                <c:pt idx="1263">
                  <c:v>-1.7575376840000001E-3</c:v>
                </c:pt>
                <c:pt idx="1264">
                  <c:v>-2.2600502419999999E-3</c:v>
                </c:pt>
                <c:pt idx="1265">
                  <c:v>-3.0640703329999999E-3</c:v>
                </c:pt>
                <c:pt idx="1266">
                  <c:v>-2.6620602880000001E-3</c:v>
                </c:pt>
                <c:pt idx="1267">
                  <c:v>-2.7625627989999999E-3</c:v>
                </c:pt>
                <c:pt idx="1268">
                  <c:v>-2.2600502419999999E-3</c:v>
                </c:pt>
                <c:pt idx="1269">
                  <c:v>-1.8580401959999999E-3</c:v>
                </c:pt>
                <c:pt idx="1270">
                  <c:v>-1.958542707E-3</c:v>
                </c:pt>
                <c:pt idx="1271">
                  <c:v>-1.4560301499999999E-3</c:v>
                </c:pt>
                <c:pt idx="1272">
                  <c:v>-1.4560301499999999E-3</c:v>
                </c:pt>
                <c:pt idx="1273">
                  <c:v>-1.958542707E-3</c:v>
                </c:pt>
                <c:pt idx="1274">
                  <c:v>-6.5201005800000005E-4</c:v>
                </c:pt>
                <c:pt idx="1275">
                  <c:v>-1.4949749999999999E-4</c:v>
                </c:pt>
                <c:pt idx="1276">
                  <c:v>-2.5000001200000001E-4</c:v>
                </c:pt>
                <c:pt idx="1277">
                  <c:v>1.52010034E-4</c:v>
                </c:pt>
                <c:pt idx="1278">
                  <c:v>5.1507522999999997E-5</c:v>
                </c:pt>
                <c:pt idx="1279">
                  <c:v>5.1507522999999997E-5</c:v>
                </c:pt>
                <c:pt idx="1280">
                  <c:v>5.5402008000000002E-4</c:v>
                </c:pt>
                <c:pt idx="1281">
                  <c:v>-6.5201005800000005E-4</c:v>
                </c:pt>
                <c:pt idx="1282">
                  <c:v>6.5452259199999996E-4</c:v>
                </c:pt>
                <c:pt idx="1283">
                  <c:v>1.2575376599999999E-3</c:v>
                </c:pt>
                <c:pt idx="1284">
                  <c:v>1.760050218E-3</c:v>
                </c:pt>
                <c:pt idx="1285">
                  <c:v>6.5452259199999996E-4</c:v>
                </c:pt>
                <c:pt idx="1286">
                  <c:v>5.5402008000000002E-4</c:v>
                </c:pt>
                <c:pt idx="1287">
                  <c:v>-2.5000001200000001E-4</c:v>
                </c:pt>
                <c:pt idx="1288">
                  <c:v>1.52010034E-4</c:v>
                </c:pt>
                <c:pt idx="1289">
                  <c:v>5.1507522999999997E-5</c:v>
                </c:pt>
                <c:pt idx="1290">
                  <c:v>-3.5050252300000001E-4</c:v>
                </c:pt>
                <c:pt idx="1291">
                  <c:v>-7.52512569E-4</c:v>
                </c:pt>
                <c:pt idx="1292">
                  <c:v>-1.556532661E-3</c:v>
                </c:pt>
                <c:pt idx="1293">
                  <c:v>-1.8580401959999999E-3</c:v>
                </c:pt>
                <c:pt idx="1294">
                  <c:v>-1.8580401959999999E-3</c:v>
                </c:pt>
                <c:pt idx="1295">
                  <c:v>-2.2600502419999999E-3</c:v>
                </c:pt>
                <c:pt idx="1296">
                  <c:v>-1.8580401959999999E-3</c:v>
                </c:pt>
                <c:pt idx="1297">
                  <c:v>-1.958542707E-3</c:v>
                </c:pt>
                <c:pt idx="1298">
                  <c:v>-1.958542707E-3</c:v>
                </c:pt>
                <c:pt idx="1299">
                  <c:v>-1.4560301499999999E-3</c:v>
                </c:pt>
                <c:pt idx="1300">
                  <c:v>-2.0590452189999998E-3</c:v>
                </c:pt>
                <c:pt idx="1301">
                  <c:v>-2.2600502419999999E-3</c:v>
                </c:pt>
                <c:pt idx="1302">
                  <c:v>-1.8580401959999999E-3</c:v>
                </c:pt>
                <c:pt idx="1303">
                  <c:v>-2.2600502419999999E-3</c:v>
                </c:pt>
                <c:pt idx="1304">
                  <c:v>-1.958542707E-3</c:v>
                </c:pt>
                <c:pt idx="1305">
                  <c:v>-1.8580401959999999E-3</c:v>
                </c:pt>
                <c:pt idx="1306">
                  <c:v>-2.6620602880000001E-3</c:v>
                </c:pt>
                <c:pt idx="1307">
                  <c:v>-3.0640703329999999E-3</c:v>
                </c:pt>
                <c:pt idx="1308">
                  <c:v>-2.7625627989999999E-3</c:v>
                </c:pt>
                <c:pt idx="1309">
                  <c:v>-3.1645728450000001E-3</c:v>
                </c:pt>
                <c:pt idx="1310">
                  <c:v>-2.963567822E-3</c:v>
                </c:pt>
                <c:pt idx="1311">
                  <c:v>-3.8680904249999998E-3</c:v>
                </c:pt>
                <c:pt idx="1312">
                  <c:v>-3.5665828909999999E-3</c:v>
                </c:pt>
                <c:pt idx="1313">
                  <c:v>-3.8680904249999998E-3</c:v>
                </c:pt>
                <c:pt idx="1314">
                  <c:v>-3.4660803790000001E-3</c:v>
                </c:pt>
                <c:pt idx="1315">
                  <c:v>-2.963567822E-3</c:v>
                </c:pt>
                <c:pt idx="1316">
                  <c:v>-2.6620602880000001E-3</c:v>
                </c:pt>
                <c:pt idx="1317">
                  <c:v>-3.265075357E-3</c:v>
                </c:pt>
                <c:pt idx="1318">
                  <c:v>-1.556532661E-3</c:v>
                </c:pt>
                <c:pt idx="1319">
                  <c:v>-1.4560301499999999E-3</c:v>
                </c:pt>
                <c:pt idx="1320">
                  <c:v>-2.1595477300000001E-3</c:v>
                </c:pt>
                <c:pt idx="1321">
                  <c:v>-8.5301508100000005E-4</c:v>
                </c:pt>
                <c:pt idx="1322">
                  <c:v>-7.52512569E-4</c:v>
                </c:pt>
                <c:pt idx="1323">
                  <c:v>-2.5000001200000001E-4</c:v>
                </c:pt>
                <c:pt idx="1324">
                  <c:v>-6.5201005800000005E-4</c:v>
                </c:pt>
                <c:pt idx="1325">
                  <c:v>-1.4560301499999999E-3</c:v>
                </c:pt>
                <c:pt idx="1326">
                  <c:v>-2.5000001200000001E-4</c:v>
                </c:pt>
                <c:pt idx="1327">
                  <c:v>-1.0540201039999999E-3</c:v>
                </c:pt>
                <c:pt idx="1328">
                  <c:v>-1.0540201039999999E-3</c:v>
                </c:pt>
                <c:pt idx="1329">
                  <c:v>-3.5050252300000001E-4</c:v>
                </c:pt>
                <c:pt idx="1330">
                  <c:v>2.5251254600000002E-4</c:v>
                </c:pt>
                <c:pt idx="1331">
                  <c:v>4.5351756800000002E-4</c:v>
                </c:pt>
                <c:pt idx="1332">
                  <c:v>5.5402008000000002E-4</c:v>
                </c:pt>
                <c:pt idx="1333">
                  <c:v>1.52010034E-4</c:v>
                </c:pt>
                <c:pt idx="1334">
                  <c:v>1.52010034E-4</c:v>
                </c:pt>
                <c:pt idx="1335">
                  <c:v>2.5251254600000002E-4</c:v>
                </c:pt>
                <c:pt idx="1336">
                  <c:v>-3.5050252300000001E-4</c:v>
                </c:pt>
                <c:pt idx="1337">
                  <c:v>-6.5201005800000005E-4</c:v>
                </c:pt>
                <c:pt idx="1338">
                  <c:v>5.1507522999999997E-5</c:v>
                </c:pt>
                <c:pt idx="1339">
                  <c:v>-2.5000001200000001E-4</c:v>
                </c:pt>
                <c:pt idx="1340">
                  <c:v>-1.0540201039999999E-3</c:v>
                </c:pt>
                <c:pt idx="1341">
                  <c:v>-6.5201005800000005E-4</c:v>
                </c:pt>
                <c:pt idx="1342">
                  <c:v>-6.5201005800000005E-4</c:v>
                </c:pt>
                <c:pt idx="1343">
                  <c:v>-6.5201005800000005E-4</c:v>
                </c:pt>
                <c:pt idx="1344">
                  <c:v>-6.5201005800000005E-4</c:v>
                </c:pt>
                <c:pt idx="1345">
                  <c:v>-1.154522615E-3</c:v>
                </c:pt>
                <c:pt idx="1346">
                  <c:v>-1.4560301499999999E-3</c:v>
                </c:pt>
                <c:pt idx="1347">
                  <c:v>-1.0540201039999999E-3</c:v>
                </c:pt>
                <c:pt idx="1348">
                  <c:v>-1.8580401959999999E-3</c:v>
                </c:pt>
                <c:pt idx="1349">
                  <c:v>-1.4560301499999999E-3</c:v>
                </c:pt>
                <c:pt idx="1350">
                  <c:v>-5.51507546E-4</c:v>
                </c:pt>
                <c:pt idx="1351">
                  <c:v>-1.7575376840000001E-3</c:v>
                </c:pt>
                <c:pt idx="1352">
                  <c:v>-1.8580401959999999E-3</c:v>
                </c:pt>
                <c:pt idx="1353">
                  <c:v>-2.3605527530000002E-3</c:v>
                </c:pt>
                <c:pt idx="1354">
                  <c:v>-2.1595477300000001E-3</c:v>
                </c:pt>
                <c:pt idx="1355">
                  <c:v>-2.7625627989999999E-3</c:v>
                </c:pt>
                <c:pt idx="1356">
                  <c:v>-3.4660803790000001E-3</c:v>
                </c:pt>
                <c:pt idx="1357">
                  <c:v>-4.6721105170000003E-3</c:v>
                </c:pt>
                <c:pt idx="1358">
                  <c:v>-5.0741205629999996E-3</c:v>
                </c:pt>
                <c:pt idx="1359">
                  <c:v>-4.2701004710000001E-3</c:v>
                </c:pt>
                <c:pt idx="1360">
                  <c:v>-4.2701004710000001E-3</c:v>
                </c:pt>
                <c:pt idx="1361">
                  <c:v>-3.5665828909999999E-3</c:v>
                </c:pt>
                <c:pt idx="1362">
                  <c:v>-3.8680904249999998E-3</c:v>
                </c:pt>
                <c:pt idx="1363">
                  <c:v>-3.5665828909999999E-3</c:v>
                </c:pt>
                <c:pt idx="1364">
                  <c:v>-3.3655778679999998E-3</c:v>
                </c:pt>
                <c:pt idx="1365">
                  <c:v>-3.0640703329999999E-3</c:v>
                </c:pt>
                <c:pt idx="1366">
                  <c:v>-3.5665828909999999E-3</c:v>
                </c:pt>
                <c:pt idx="1367">
                  <c:v>-4.2701004710000001E-3</c:v>
                </c:pt>
                <c:pt idx="1368">
                  <c:v>-3.8680904249999998E-3</c:v>
                </c:pt>
                <c:pt idx="1369">
                  <c:v>-3.0640703329999999E-3</c:v>
                </c:pt>
                <c:pt idx="1370">
                  <c:v>-3.1645728450000001E-3</c:v>
                </c:pt>
                <c:pt idx="1371">
                  <c:v>-3.0640703329999999E-3</c:v>
                </c:pt>
                <c:pt idx="1372">
                  <c:v>-2.6620602880000001E-3</c:v>
                </c:pt>
                <c:pt idx="1373">
                  <c:v>-1.8580401959999999E-3</c:v>
                </c:pt>
                <c:pt idx="1374">
                  <c:v>-6.5201005800000005E-4</c:v>
                </c:pt>
                <c:pt idx="1375">
                  <c:v>-7.52512569E-4</c:v>
                </c:pt>
                <c:pt idx="1376">
                  <c:v>-1.4949749999999999E-4</c:v>
                </c:pt>
                <c:pt idx="1377">
                  <c:v>5.1507522999999997E-5</c:v>
                </c:pt>
                <c:pt idx="1378">
                  <c:v>1.52010034E-4</c:v>
                </c:pt>
                <c:pt idx="1379">
                  <c:v>9.56030126E-4</c:v>
                </c:pt>
                <c:pt idx="1380">
                  <c:v>1.52010034E-4</c:v>
                </c:pt>
                <c:pt idx="1381">
                  <c:v>6.5452259199999996E-4</c:v>
                </c:pt>
                <c:pt idx="1382">
                  <c:v>-2.5000001200000001E-4</c:v>
                </c:pt>
                <c:pt idx="1383">
                  <c:v>-2.5000001200000001E-4</c:v>
                </c:pt>
                <c:pt idx="1384">
                  <c:v>8.5552761399999996E-4</c:v>
                </c:pt>
                <c:pt idx="1385">
                  <c:v>5.5402008000000002E-4</c:v>
                </c:pt>
                <c:pt idx="1386">
                  <c:v>5.5402008000000002E-4</c:v>
                </c:pt>
                <c:pt idx="1387">
                  <c:v>5.5402008000000002E-4</c:v>
                </c:pt>
                <c:pt idx="1388">
                  <c:v>1.52010034E-4</c:v>
                </c:pt>
                <c:pt idx="1389">
                  <c:v>-2.5000001200000001E-4</c:v>
                </c:pt>
                <c:pt idx="1390">
                  <c:v>1.52010034E-4</c:v>
                </c:pt>
                <c:pt idx="1391">
                  <c:v>5.1507522999999997E-5</c:v>
                </c:pt>
                <c:pt idx="1392">
                  <c:v>-1.0540201039999999E-3</c:v>
                </c:pt>
                <c:pt idx="1393">
                  <c:v>-7.52512569E-4</c:v>
                </c:pt>
                <c:pt idx="1394">
                  <c:v>-1.0540201039999999E-3</c:v>
                </c:pt>
                <c:pt idx="1395">
                  <c:v>-6.5201005800000005E-4</c:v>
                </c:pt>
                <c:pt idx="1396">
                  <c:v>-1.4560301499999999E-3</c:v>
                </c:pt>
                <c:pt idx="1397">
                  <c:v>-1.8580401959999999E-3</c:v>
                </c:pt>
                <c:pt idx="1398">
                  <c:v>-2.1595477300000001E-3</c:v>
                </c:pt>
                <c:pt idx="1399">
                  <c:v>-2.1595477300000001E-3</c:v>
                </c:pt>
                <c:pt idx="1400">
                  <c:v>-1.8580401959999999E-3</c:v>
                </c:pt>
                <c:pt idx="1401">
                  <c:v>-2.5615577759999998E-3</c:v>
                </c:pt>
                <c:pt idx="1402">
                  <c:v>-3.5665828909999999E-3</c:v>
                </c:pt>
                <c:pt idx="1403">
                  <c:v>-3.4660803790000001E-3</c:v>
                </c:pt>
                <c:pt idx="1404">
                  <c:v>-3.0640703329999999E-3</c:v>
                </c:pt>
                <c:pt idx="1405">
                  <c:v>-2.7625627989999999E-3</c:v>
                </c:pt>
                <c:pt idx="1406">
                  <c:v>-2.963567822E-3</c:v>
                </c:pt>
                <c:pt idx="1407">
                  <c:v>-3.4660803790000001E-3</c:v>
                </c:pt>
                <c:pt idx="1408">
                  <c:v>-3.767587914E-3</c:v>
                </c:pt>
                <c:pt idx="1409">
                  <c:v>-2.6620602880000001E-3</c:v>
                </c:pt>
                <c:pt idx="1410">
                  <c:v>-1.958542707E-3</c:v>
                </c:pt>
                <c:pt idx="1411">
                  <c:v>-2.3605527530000002E-3</c:v>
                </c:pt>
                <c:pt idx="1412">
                  <c:v>-1.0540201039999999E-3</c:v>
                </c:pt>
                <c:pt idx="1413">
                  <c:v>-1.8580401959999999E-3</c:v>
                </c:pt>
                <c:pt idx="1414">
                  <c:v>-8.5301508100000005E-4</c:v>
                </c:pt>
                <c:pt idx="1415">
                  <c:v>-6.5201005800000005E-4</c:v>
                </c:pt>
                <c:pt idx="1416">
                  <c:v>-6.5201005800000005E-4</c:v>
                </c:pt>
                <c:pt idx="1417">
                  <c:v>5.1507522999999997E-5</c:v>
                </c:pt>
                <c:pt idx="1418">
                  <c:v>-6.5201005800000005E-4</c:v>
                </c:pt>
                <c:pt idx="1419">
                  <c:v>1.5590451950000001E-3</c:v>
                </c:pt>
                <c:pt idx="1420">
                  <c:v>4.5351756800000002E-4</c:v>
                </c:pt>
                <c:pt idx="1421">
                  <c:v>5.5402008000000002E-4</c:v>
                </c:pt>
                <c:pt idx="1422">
                  <c:v>9.56030126E-4</c:v>
                </c:pt>
                <c:pt idx="1423">
                  <c:v>6.5452259199999996E-4</c:v>
                </c:pt>
                <c:pt idx="1424">
                  <c:v>9.56030126E-4</c:v>
                </c:pt>
                <c:pt idx="1425">
                  <c:v>1.52010034E-4</c:v>
                </c:pt>
                <c:pt idx="1426">
                  <c:v>2.5251254600000002E-4</c:v>
                </c:pt>
                <c:pt idx="1427">
                  <c:v>1.52010034E-4</c:v>
                </c:pt>
                <c:pt idx="1428">
                  <c:v>6.5452259199999996E-4</c:v>
                </c:pt>
                <c:pt idx="1429">
                  <c:v>1.458542683E-3</c:v>
                </c:pt>
                <c:pt idx="1430">
                  <c:v>-1.4949749999999999E-4</c:v>
                </c:pt>
                <c:pt idx="1431">
                  <c:v>2.5251254600000002E-4</c:v>
                </c:pt>
                <c:pt idx="1432">
                  <c:v>-1.4949749999999999E-4</c:v>
                </c:pt>
                <c:pt idx="1433">
                  <c:v>5.5402008000000002E-4</c:v>
                </c:pt>
                <c:pt idx="1434">
                  <c:v>5.1507522999999997E-5</c:v>
                </c:pt>
                <c:pt idx="1435">
                  <c:v>4.5351756800000002E-4</c:v>
                </c:pt>
                <c:pt idx="1436">
                  <c:v>-2.5000001200000001E-4</c:v>
                </c:pt>
                <c:pt idx="1437">
                  <c:v>1.52010034E-4</c:v>
                </c:pt>
                <c:pt idx="1438">
                  <c:v>-5.51507546E-4</c:v>
                </c:pt>
                <c:pt idx="1439">
                  <c:v>-1.4560301499999999E-3</c:v>
                </c:pt>
                <c:pt idx="1440">
                  <c:v>-1.4560301499999999E-3</c:v>
                </c:pt>
                <c:pt idx="1441">
                  <c:v>-8.5301508100000005E-4</c:v>
                </c:pt>
                <c:pt idx="1442">
                  <c:v>-1.154522615E-3</c:v>
                </c:pt>
                <c:pt idx="1443">
                  <c:v>-1.3555276380000001E-3</c:v>
                </c:pt>
                <c:pt idx="1444">
                  <c:v>-1.8580401959999999E-3</c:v>
                </c:pt>
                <c:pt idx="1445">
                  <c:v>-2.6620602880000001E-3</c:v>
                </c:pt>
                <c:pt idx="1446">
                  <c:v>-2.2600502419999999E-3</c:v>
                </c:pt>
                <c:pt idx="1447">
                  <c:v>-3.0640703329999999E-3</c:v>
                </c:pt>
                <c:pt idx="1448">
                  <c:v>-2.3605527530000002E-3</c:v>
                </c:pt>
                <c:pt idx="1449">
                  <c:v>-2.3605527530000002E-3</c:v>
                </c:pt>
                <c:pt idx="1450">
                  <c:v>-2.2600502419999999E-3</c:v>
                </c:pt>
                <c:pt idx="1451">
                  <c:v>-2.3605527530000002E-3</c:v>
                </c:pt>
                <c:pt idx="1452">
                  <c:v>-1.8580401959999999E-3</c:v>
                </c:pt>
                <c:pt idx="1453">
                  <c:v>-2.2600502419999999E-3</c:v>
                </c:pt>
                <c:pt idx="1454">
                  <c:v>-2.1595477300000001E-3</c:v>
                </c:pt>
                <c:pt idx="1455">
                  <c:v>-1.4560301499999999E-3</c:v>
                </c:pt>
                <c:pt idx="1456">
                  <c:v>-2.2600502419999999E-3</c:v>
                </c:pt>
                <c:pt idx="1457">
                  <c:v>-7.52512569E-4</c:v>
                </c:pt>
                <c:pt idx="1458">
                  <c:v>-1.7575376840000001E-3</c:v>
                </c:pt>
                <c:pt idx="1459">
                  <c:v>-1.7575376840000001E-3</c:v>
                </c:pt>
                <c:pt idx="1460">
                  <c:v>-1.3555276380000001E-3</c:v>
                </c:pt>
                <c:pt idx="1461">
                  <c:v>-1.8580401959999999E-3</c:v>
                </c:pt>
                <c:pt idx="1462">
                  <c:v>-1.4560301499999999E-3</c:v>
                </c:pt>
                <c:pt idx="1463">
                  <c:v>-1.154522615E-3</c:v>
                </c:pt>
                <c:pt idx="1464">
                  <c:v>-1.4949749999999999E-4</c:v>
                </c:pt>
                <c:pt idx="1465">
                  <c:v>5.5402008000000002E-4</c:v>
                </c:pt>
                <c:pt idx="1466">
                  <c:v>5.5402008000000002E-4</c:v>
                </c:pt>
                <c:pt idx="1467">
                  <c:v>-2.5000001200000001E-4</c:v>
                </c:pt>
                <c:pt idx="1468">
                  <c:v>-9.5351759199999999E-4</c:v>
                </c:pt>
                <c:pt idx="1469">
                  <c:v>-2.5000001200000001E-4</c:v>
                </c:pt>
                <c:pt idx="1470">
                  <c:v>-5.51507546E-4</c:v>
                </c:pt>
                <c:pt idx="1471">
                  <c:v>-6.5201005800000005E-4</c:v>
                </c:pt>
                <c:pt idx="1472">
                  <c:v>-2.5000001200000001E-4</c:v>
                </c:pt>
                <c:pt idx="1473">
                  <c:v>-2.5000001200000001E-4</c:v>
                </c:pt>
                <c:pt idx="1474">
                  <c:v>-2.5000001200000001E-4</c:v>
                </c:pt>
                <c:pt idx="1475">
                  <c:v>1.52010034E-4</c:v>
                </c:pt>
                <c:pt idx="1476">
                  <c:v>9.56030126E-4</c:v>
                </c:pt>
                <c:pt idx="1477">
                  <c:v>1.52010034E-4</c:v>
                </c:pt>
                <c:pt idx="1478">
                  <c:v>-6.5201005800000005E-4</c:v>
                </c:pt>
                <c:pt idx="1479">
                  <c:v>-1.4560301499999999E-3</c:v>
                </c:pt>
                <c:pt idx="1480">
                  <c:v>-3.5050252300000001E-4</c:v>
                </c:pt>
                <c:pt idx="1481">
                  <c:v>-7.52512569E-4</c:v>
                </c:pt>
                <c:pt idx="1482">
                  <c:v>-1.8580401959999999E-3</c:v>
                </c:pt>
                <c:pt idx="1483">
                  <c:v>-1.4560301499999999E-3</c:v>
                </c:pt>
                <c:pt idx="1484">
                  <c:v>-1.958542707E-3</c:v>
                </c:pt>
                <c:pt idx="1485">
                  <c:v>-6.5201005800000005E-4</c:v>
                </c:pt>
                <c:pt idx="1486">
                  <c:v>-1.154522615E-3</c:v>
                </c:pt>
                <c:pt idx="1487">
                  <c:v>-1.4560301499999999E-3</c:v>
                </c:pt>
                <c:pt idx="1488">
                  <c:v>-1.0540201039999999E-3</c:v>
                </c:pt>
                <c:pt idx="1489">
                  <c:v>-1.4560301499999999E-3</c:v>
                </c:pt>
                <c:pt idx="1490">
                  <c:v>-1.4560301499999999E-3</c:v>
                </c:pt>
                <c:pt idx="1491">
                  <c:v>-1.4560301499999999E-3</c:v>
                </c:pt>
                <c:pt idx="1492">
                  <c:v>-1.255025127E-3</c:v>
                </c:pt>
                <c:pt idx="1493">
                  <c:v>-1.3555276380000001E-3</c:v>
                </c:pt>
                <c:pt idx="1494">
                  <c:v>-1.4560301499999999E-3</c:v>
                </c:pt>
                <c:pt idx="1495">
                  <c:v>-2.1595477300000001E-3</c:v>
                </c:pt>
                <c:pt idx="1496">
                  <c:v>-1.0540201039999999E-3</c:v>
                </c:pt>
                <c:pt idx="1497">
                  <c:v>-1.154522615E-3</c:v>
                </c:pt>
                <c:pt idx="1498">
                  <c:v>-1.4560301499999999E-3</c:v>
                </c:pt>
                <c:pt idx="1499">
                  <c:v>-2.461055265E-3</c:v>
                </c:pt>
                <c:pt idx="1500">
                  <c:v>-2.5615577759999998E-3</c:v>
                </c:pt>
                <c:pt idx="1501">
                  <c:v>-1.8580401959999999E-3</c:v>
                </c:pt>
                <c:pt idx="1502">
                  <c:v>-2.3605527530000002E-3</c:v>
                </c:pt>
                <c:pt idx="1503">
                  <c:v>-1.958542707E-3</c:v>
                </c:pt>
                <c:pt idx="1504">
                  <c:v>-2.2600502419999999E-3</c:v>
                </c:pt>
                <c:pt idx="1505">
                  <c:v>-1.8580401959999999E-3</c:v>
                </c:pt>
                <c:pt idx="1506">
                  <c:v>-1.556532661E-3</c:v>
                </c:pt>
                <c:pt idx="1507">
                  <c:v>-1.4560301499999999E-3</c:v>
                </c:pt>
                <c:pt idx="1508">
                  <c:v>-9.5351759199999999E-4</c:v>
                </c:pt>
                <c:pt idx="1509">
                  <c:v>-1.0540201039999999E-3</c:v>
                </c:pt>
                <c:pt idx="1510">
                  <c:v>-1.3555276380000001E-3</c:v>
                </c:pt>
                <c:pt idx="1511">
                  <c:v>-1.154522615E-3</c:v>
                </c:pt>
                <c:pt idx="1512">
                  <c:v>-1.4560301499999999E-3</c:v>
                </c:pt>
                <c:pt idx="1513">
                  <c:v>-7.52512569E-4</c:v>
                </c:pt>
                <c:pt idx="1514">
                  <c:v>-3.5050252300000001E-4</c:v>
                </c:pt>
                <c:pt idx="1515">
                  <c:v>-3.5050252300000001E-4</c:v>
                </c:pt>
                <c:pt idx="1516">
                  <c:v>9.56030126E-4</c:v>
                </c:pt>
                <c:pt idx="1517">
                  <c:v>5.5402008000000002E-4</c:v>
                </c:pt>
                <c:pt idx="1518">
                  <c:v>-3.5050252300000001E-4</c:v>
                </c:pt>
                <c:pt idx="1519">
                  <c:v>1.52010034E-4</c:v>
                </c:pt>
                <c:pt idx="1520">
                  <c:v>-1.4949749999999999E-4</c:v>
                </c:pt>
                <c:pt idx="1521">
                  <c:v>-2.5000001200000001E-4</c:v>
                </c:pt>
                <c:pt idx="1522">
                  <c:v>1.52010034E-4</c:v>
                </c:pt>
                <c:pt idx="1523">
                  <c:v>-6.5201005800000005E-4</c:v>
                </c:pt>
                <c:pt idx="1524">
                  <c:v>-6.5201005800000005E-4</c:v>
                </c:pt>
                <c:pt idx="1525">
                  <c:v>-1.3555276380000001E-3</c:v>
                </c:pt>
                <c:pt idx="1526">
                  <c:v>-1.958542707E-3</c:v>
                </c:pt>
                <c:pt idx="1527">
                  <c:v>-7.52512569E-4</c:v>
                </c:pt>
                <c:pt idx="1528">
                  <c:v>-1.4560301499999999E-3</c:v>
                </c:pt>
                <c:pt idx="1529">
                  <c:v>-6.5201005800000005E-4</c:v>
                </c:pt>
                <c:pt idx="1530">
                  <c:v>-1.4560301499999999E-3</c:v>
                </c:pt>
                <c:pt idx="1531">
                  <c:v>-1.0540201039999999E-3</c:v>
                </c:pt>
                <c:pt idx="1532">
                  <c:v>-1.556532661E-3</c:v>
                </c:pt>
                <c:pt idx="1533">
                  <c:v>-1.4560301499999999E-3</c:v>
                </c:pt>
                <c:pt idx="1534">
                  <c:v>-6.5201005800000005E-4</c:v>
                </c:pt>
                <c:pt idx="1535">
                  <c:v>-1.4560301499999999E-3</c:v>
                </c:pt>
                <c:pt idx="1536">
                  <c:v>-1.8580401959999999E-3</c:v>
                </c:pt>
                <c:pt idx="1537">
                  <c:v>-1.4560301499999999E-3</c:v>
                </c:pt>
                <c:pt idx="1538">
                  <c:v>-1.4560301499999999E-3</c:v>
                </c:pt>
                <c:pt idx="1539">
                  <c:v>-1.4560301499999999E-3</c:v>
                </c:pt>
                <c:pt idx="1540">
                  <c:v>-1.8580401959999999E-3</c:v>
                </c:pt>
                <c:pt idx="1541">
                  <c:v>-1.0540201039999999E-3</c:v>
                </c:pt>
                <c:pt idx="1542">
                  <c:v>-1.8580401959999999E-3</c:v>
                </c:pt>
                <c:pt idx="1543">
                  <c:v>-1.8580401959999999E-3</c:v>
                </c:pt>
                <c:pt idx="1544">
                  <c:v>-2.1595477300000001E-3</c:v>
                </c:pt>
                <c:pt idx="1545">
                  <c:v>-1.958542707E-3</c:v>
                </c:pt>
                <c:pt idx="1546">
                  <c:v>-9.5351759199999999E-4</c:v>
                </c:pt>
                <c:pt idx="1547">
                  <c:v>-1.4560301499999999E-3</c:v>
                </c:pt>
                <c:pt idx="1548">
                  <c:v>-2.0590452189999998E-3</c:v>
                </c:pt>
                <c:pt idx="1549">
                  <c:v>-2.1595477300000001E-3</c:v>
                </c:pt>
                <c:pt idx="1550">
                  <c:v>-1.4560301499999999E-3</c:v>
                </c:pt>
                <c:pt idx="1551">
                  <c:v>-1.8580401959999999E-3</c:v>
                </c:pt>
                <c:pt idx="1552">
                  <c:v>-1.4560301499999999E-3</c:v>
                </c:pt>
                <c:pt idx="1553">
                  <c:v>-1.556532661E-3</c:v>
                </c:pt>
                <c:pt idx="1554">
                  <c:v>-1.8580401959999999E-3</c:v>
                </c:pt>
                <c:pt idx="1555">
                  <c:v>-2.2600502419999999E-3</c:v>
                </c:pt>
                <c:pt idx="1556">
                  <c:v>-9.5351759199999999E-4</c:v>
                </c:pt>
                <c:pt idx="1557">
                  <c:v>-2.5000001200000001E-4</c:v>
                </c:pt>
                <c:pt idx="1558">
                  <c:v>-2.5000001200000001E-4</c:v>
                </c:pt>
                <c:pt idx="1559">
                  <c:v>1.52010034E-4</c:v>
                </c:pt>
                <c:pt idx="1560">
                  <c:v>-1.4949749999999999E-4</c:v>
                </c:pt>
                <c:pt idx="1561">
                  <c:v>4.5351756800000002E-4</c:v>
                </c:pt>
                <c:pt idx="1562">
                  <c:v>-6.5201005800000005E-4</c:v>
                </c:pt>
                <c:pt idx="1563">
                  <c:v>-1.4949749999999999E-4</c:v>
                </c:pt>
                <c:pt idx="1564">
                  <c:v>1.52010034E-4</c:v>
                </c:pt>
                <c:pt idx="1565">
                  <c:v>-6.5201005800000005E-4</c:v>
                </c:pt>
                <c:pt idx="1566">
                  <c:v>-5.51507546E-4</c:v>
                </c:pt>
                <c:pt idx="1567">
                  <c:v>-6.5201005800000005E-4</c:v>
                </c:pt>
                <c:pt idx="1568">
                  <c:v>-6.5201005800000005E-4</c:v>
                </c:pt>
                <c:pt idx="1569">
                  <c:v>-6.5201005800000005E-4</c:v>
                </c:pt>
                <c:pt idx="1570">
                  <c:v>-1.4560301499999999E-3</c:v>
                </c:pt>
                <c:pt idx="1571">
                  <c:v>-2.2600502419999999E-3</c:v>
                </c:pt>
                <c:pt idx="1572">
                  <c:v>-1.154522615E-3</c:v>
                </c:pt>
                <c:pt idx="1573">
                  <c:v>-1.4560301499999999E-3</c:v>
                </c:pt>
                <c:pt idx="1574">
                  <c:v>-1.3555276380000001E-3</c:v>
                </c:pt>
                <c:pt idx="1575">
                  <c:v>-1.4560301499999999E-3</c:v>
                </c:pt>
                <c:pt idx="1576">
                  <c:v>-1.8580401959999999E-3</c:v>
                </c:pt>
                <c:pt idx="1577">
                  <c:v>-2.2600502419999999E-3</c:v>
                </c:pt>
                <c:pt idx="1578">
                  <c:v>-3.8680904249999998E-3</c:v>
                </c:pt>
                <c:pt idx="1579">
                  <c:v>-3.0640703329999999E-3</c:v>
                </c:pt>
                <c:pt idx="1580">
                  <c:v>-3.3655778679999998E-3</c:v>
                </c:pt>
                <c:pt idx="1581">
                  <c:v>-3.1645728450000001E-3</c:v>
                </c:pt>
                <c:pt idx="1582">
                  <c:v>-2.6620602880000001E-3</c:v>
                </c:pt>
                <c:pt idx="1583">
                  <c:v>-3.1645728450000001E-3</c:v>
                </c:pt>
                <c:pt idx="1584">
                  <c:v>-2.5615577759999998E-3</c:v>
                </c:pt>
                <c:pt idx="1585">
                  <c:v>-8.5301508100000005E-4</c:v>
                </c:pt>
                <c:pt idx="1586">
                  <c:v>-2.5000001200000001E-4</c:v>
                </c:pt>
                <c:pt idx="1587">
                  <c:v>-3.5050252300000001E-4</c:v>
                </c:pt>
                <c:pt idx="1588">
                  <c:v>-1.4560301499999999E-3</c:v>
                </c:pt>
                <c:pt idx="1589">
                  <c:v>-1.7575376840000001E-3</c:v>
                </c:pt>
                <c:pt idx="1590">
                  <c:v>-6.5201005800000005E-4</c:v>
                </c:pt>
                <c:pt idx="1591">
                  <c:v>-7.52512569E-4</c:v>
                </c:pt>
                <c:pt idx="1592">
                  <c:v>-1.4949749999999999E-4</c:v>
                </c:pt>
                <c:pt idx="1593">
                  <c:v>-1.4560301499999999E-3</c:v>
                </c:pt>
                <c:pt idx="1594">
                  <c:v>-1.0540201039999999E-3</c:v>
                </c:pt>
                <c:pt idx="1595">
                  <c:v>-6.5201005800000005E-4</c:v>
                </c:pt>
                <c:pt idx="1596">
                  <c:v>-1.0540201039999999E-3</c:v>
                </c:pt>
                <c:pt idx="1597">
                  <c:v>-6.5201005800000005E-4</c:v>
                </c:pt>
                <c:pt idx="1598">
                  <c:v>-7.52512569E-4</c:v>
                </c:pt>
                <c:pt idx="1599">
                  <c:v>-2.5000001200000001E-4</c:v>
                </c:pt>
                <c:pt idx="1600">
                  <c:v>-6.5201005800000005E-4</c:v>
                </c:pt>
                <c:pt idx="1601">
                  <c:v>5.5402008000000002E-4</c:v>
                </c:pt>
                <c:pt idx="1602">
                  <c:v>1.52010034E-4</c:v>
                </c:pt>
                <c:pt idx="1603">
                  <c:v>1.52010034E-4</c:v>
                </c:pt>
                <c:pt idx="1604">
                  <c:v>2.5251254600000002E-4</c:v>
                </c:pt>
                <c:pt idx="1605">
                  <c:v>-2.5000001200000001E-4</c:v>
                </c:pt>
                <c:pt idx="1606">
                  <c:v>-3.5050252300000001E-4</c:v>
                </c:pt>
                <c:pt idx="1607">
                  <c:v>5.5402008000000002E-4</c:v>
                </c:pt>
                <c:pt idx="1608">
                  <c:v>-2.5000001200000001E-4</c:v>
                </c:pt>
                <c:pt idx="1609">
                  <c:v>4.5351756800000002E-4</c:v>
                </c:pt>
                <c:pt idx="1610">
                  <c:v>3.5301505700000002E-4</c:v>
                </c:pt>
                <c:pt idx="1611">
                  <c:v>-2.5000001200000001E-4</c:v>
                </c:pt>
                <c:pt idx="1612">
                  <c:v>-5.51507546E-4</c:v>
                </c:pt>
                <c:pt idx="1613">
                  <c:v>-2.5000001200000001E-4</c:v>
                </c:pt>
                <c:pt idx="1614">
                  <c:v>-2.5000001200000001E-4</c:v>
                </c:pt>
                <c:pt idx="1615">
                  <c:v>-2.5000001200000001E-4</c:v>
                </c:pt>
                <c:pt idx="1616">
                  <c:v>-3.5050252300000001E-4</c:v>
                </c:pt>
                <c:pt idx="1617">
                  <c:v>-1.154522615E-3</c:v>
                </c:pt>
                <c:pt idx="1618">
                  <c:v>-1.4560301499999999E-3</c:v>
                </c:pt>
                <c:pt idx="1619">
                  <c:v>-1.4560301499999999E-3</c:v>
                </c:pt>
                <c:pt idx="1620">
                  <c:v>-1.8580401959999999E-3</c:v>
                </c:pt>
                <c:pt idx="1621">
                  <c:v>-1.4560301499999999E-3</c:v>
                </c:pt>
                <c:pt idx="1622">
                  <c:v>-1.556532661E-3</c:v>
                </c:pt>
                <c:pt idx="1623">
                  <c:v>-2.1595477300000001E-3</c:v>
                </c:pt>
                <c:pt idx="1624">
                  <c:v>-2.3605527530000002E-3</c:v>
                </c:pt>
                <c:pt idx="1625">
                  <c:v>-1.255025127E-3</c:v>
                </c:pt>
                <c:pt idx="1626">
                  <c:v>-1.4560301499999999E-3</c:v>
                </c:pt>
                <c:pt idx="1627">
                  <c:v>-2.1595477300000001E-3</c:v>
                </c:pt>
                <c:pt idx="1628">
                  <c:v>-3.8680904249999998E-3</c:v>
                </c:pt>
                <c:pt idx="1629">
                  <c:v>-2.7625627989999999E-3</c:v>
                </c:pt>
                <c:pt idx="1630">
                  <c:v>-3.8680904249999998E-3</c:v>
                </c:pt>
                <c:pt idx="1631">
                  <c:v>-3.8680904249999998E-3</c:v>
                </c:pt>
                <c:pt idx="1632">
                  <c:v>-3.5665828909999999E-3</c:v>
                </c:pt>
                <c:pt idx="1633">
                  <c:v>-3.767587914E-3</c:v>
                </c:pt>
                <c:pt idx="1634">
                  <c:v>-3.3655778679999998E-3</c:v>
                </c:pt>
                <c:pt idx="1635">
                  <c:v>-3.9685929370000001E-3</c:v>
                </c:pt>
                <c:pt idx="1636">
                  <c:v>-4.6721105170000003E-3</c:v>
                </c:pt>
                <c:pt idx="1637">
                  <c:v>-4.3706029830000003E-3</c:v>
                </c:pt>
                <c:pt idx="1638">
                  <c:v>-3.9685929370000001E-3</c:v>
                </c:pt>
                <c:pt idx="1639">
                  <c:v>-4.1695979600000002E-3</c:v>
                </c:pt>
                <c:pt idx="1640">
                  <c:v>-2.2600502419999999E-3</c:v>
                </c:pt>
                <c:pt idx="1641">
                  <c:v>-2.6620602880000001E-3</c:v>
                </c:pt>
                <c:pt idx="1642">
                  <c:v>-1.154522615E-3</c:v>
                </c:pt>
                <c:pt idx="1643">
                  <c:v>-2.2600502419999999E-3</c:v>
                </c:pt>
                <c:pt idx="1644">
                  <c:v>-2.3605527530000002E-3</c:v>
                </c:pt>
                <c:pt idx="1645">
                  <c:v>-2.0590452189999998E-3</c:v>
                </c:pt>
                <c:pt idx="1646">
                  <c:v>-1.657035173E-3</c:v>
                </c:pt>
                <c:pt idx="1647">
                  <c:v>-1.4560301499999999E-3</c:v>
                </c:pt>
                <c:pt idx="1648">
                  <c:v>-1.4949749999999999E-4</c:v>
                </c:pt>
                <c:pt idx="1649">
                  <c:v>5.1507522999999997E-5</c:v>
                </c:pt>
                <c:pt idx="1650">
                  <c:v>5.5402008000000002E-4</c:v>
                </c:pt>
                <c:pt idx="1651">
                  <c:v>-2.5000001200000001E-4</c:v>
                </c:pt>
                <c:pt idx="1652">
                  <c:v>-6.5201005800000005E-4</c:v>
                </c:pt>
                <c:pt idx="1653">
                  <c:v>-7.52512569E-4</c:v>
                </c:pt>
                <c:pt idx="1654">
                  <c:v>-3.5050252300000001E-4</c:v>
                </c:pt>
                <c:pt idx="1655">
                  <c:v>1.52010034E-4</c:v>
                </c:pt>
                <c:pt idx="1656">
                  <c:v>3.5301505700000002E-4</c:v>
                </c:pt>
                <c:pt idx="1657">
                  <c:v>5.5402008000000002E-4</c:v>
                </c:pt>
                <c:pt idx="1658">
                  <c:v>-5.51507546E-4</c:v>
                </c:pt>
                <c:pt idx="1659">
                  <c:v>-6.5201005800000005E-4</c:v>
                </c:pt>
                <c:pt idx="1660">
                  <c:v>-9.5351759199999999E-4</c:v>
                </c:pt>
                <c:pt idx="1661">
                  <c:v>-6.5201005800000005E-4</c:v>
                </c:pt>
                <c:pt idx="1662">
                  <c:v>-6.5201005800000005E-4</c:v>
                </c:pt>
                <c:pt idx="1663">
                  <c:v>-1.4560301499999999E-3</c:v>
                </c:pt>
                <c:pt idx="1664">
                  <c:v>-1.0540201039999999E-3</c:v>
                </c:pt>
                <c:pt idx="1665">
                  <c:v>-1.4560301499999999E-3</c:v>
                </c:pt>
                <c:pt idx="1666">
                  <c:v>-1.8580401959999999E-3</c:v>
                </c:pt>
                <c:pt idx="1667">
                  <c:v>-2.0590452189999998E-3</c:v>
                </c:pt>
                <c:pt idx="1668">
                  <c:v>-2.1595477300000001E-3</c:v>
                </c:pt>
                <c:pt idx="1669">
                  <c:v>-2.2600502419999999E-3</c:v>
                </c:pt>
                <c:pt idx="1670">
                  <c:v>-1.3555276380000001E-3</c:v>
                </c:pt>
                <c:pt idx="1671">
                  <c:v>-2.6620602880000001E-3</c:v>
                </c:pt>
                <c:pt idx="1672">
                  <c:v>-1.556532661E-3</c:v>
                </c:pt>
                <c:pt idx="1673">
                  <c:v>-3.5050252300000001E-4</c:v>
                </c:pt>
                <c:pt idx="1674">
                  <c:v>-6.5201005800000005E-4</c:v>
                </c:pt>
                <c:pt idx="1675">
                  <c:v>-6.5201005800000005E-4</c:v>
                </c:pt>
                <c:pt idx="1676">
                  <c:v>-1.556532661E-3</c:v>
                </c:pt>
                <c:pt idx="1677">
                  <c:v>-1.3555276380000001E-3</c:v>
                </c:pt>
                <c:pt idx="1678">
                  <c:v>-7.52512569E-4</c:v>
                </c:pt>
                <c:pt idx="1679">
                  <c:v>-1.154522615E-3</c:v>
                </c:pt>
                <c:pt idx="1680">
                  <c:v>-1.0540201039999999E-3</c:v>
                </c:pt>
                <c:pt idx="1681">
                  <c:v>8.5552761399999996E-4</c:v>
                </c:pt>
                <c:pt idx="1682">
                  <c:v>5.5402008000000002E-4</c:v>
                </c:pt>
                <c:pt idx="1683">
                  <c:v>4.5351756800000002E-4</c:v>
                </c:pt>
                <c:pt idx="1684">
                  <c:v>1.52010034E-4</c:v>
                </c:pt>
                <c:pt idx="1685">
                  <c:v>1.52010034E-4</c:v>
                </c:pt>
                <c:pt idx="1686">
                  <c:v>-2.5000001200000001E-4</c:v>
                </c:pt>
                <c:pt idx="1687">
                  <c:v>1.52010034E-4</c:v>
                </c:pt>
                <c:pt idx="1688">
                  <c:v>1.52010034E-4</c:v>
                </c:pt>
                <c:pt idx="1689">
                  <c:v>-2.5000001200000001E-4</c:v>
                </c:pt>
                <c:pt idx="1690">
                  <c:v>5.5402008000000002E-4</c:v>
                </c:pt>
                <c:pt idx="1691">
                  <c:v>6.5452259199999996E-4</c:v>
                </c:pt>
                <c:pt idx="1692">
                  <c:v>1.52010034E-4</c:v>
                </c:pt>
                <c:pt idx="1693">
                  <c:v>-9.5351759199999999E-4</c:v>
                </c:pt>
                <c:pt idx="1694">
                  <c:v>1.52010034E-4</c:v>
                </c:pt>
                <c:pt idx="1695">
                  <c:v>-2.5000001200000001E-4</c:v>
                </c:pt>
                <c:pt idx="1696">
                  <c:v>-1.4949749999999999E-4</c:v>
                </c:pt>
                <c:pt idx="1697">
                  <c:v>5.1507522999999997E-5</c:v>
                </c:pt>
                <c:pt idx="1698">
                  <c:v>-1.4949749999999999E-4</c:v>
                </c:pt>
                <c:pt idx="1699">
                  <c:v>-2.5000001200000001E-4</c:v>
                </c:pt>
                <c:pt idx="1700">
                  <c:v>5.1507522999999997E-5</c:v>
                </c:pt>
                <c:pt idx="1701">
                  <c:v>-1.3555276380000001E-3</c:v>
                </c:pt>
                <c:pt idx="1702">
                  <c:v>-1.154522615E-3</c:v>
                </c:pt>
                <c:pt idx="1703">
                  <c:v>-1.154522615E-3</c:v>
                </c:pt>
                <c:pt idx="1704">
                  <c:v>-1.0540201039999999E-3</c:v>
                </c:pt>
                <c:pt idx="1705">
                  <c:v>-1.556532661E-3</c:v>
                </c:pt>
                <c:pt idx="1706">
                  <c:v>-1.958542707E-3</c:v>
                </c:pt>
                <c:pt idx="1707">
                  <c:v>-1.7575376840000001E-3</c:v>
                </c:pt>
                <c:pt idx="1708">
                  <c:v>-1.958542707E-3</c:v>
                </c:pt>
                <c:pt idx="1709">
                  <c:v>-1.154522615E-3</c:v>
                </c:pt>
                <c:pt idx="1710">
                  <c:v>-9.5351759199999999E-4</c:v>
                </c:pt>
                <c:pt idx="1711">
                  <c:v>-3.5050252300000001E-4</c:v>
                </c:pt>
                <c:pt idx="1712">
                  <c:v>-1.0540201039999999E-3</c:v>
                </c:pt>
                <c:pt idx="1713">
                  <c:v>-8.5301508100000005E-4</c:v>
                </c:pt>
                <c:pt idx="1714">
                  <c:v>-1.8580401959999999E-3</c:v>
                </c:pt>
                <c:pt idx="1715">
                  <c:v>-1.8580401959999999E-3</c:v>
                </c:pt>
                <c:pt idx="1716">
                  <c:v>-1.7575376840000001E-3</c:v>
                </c:pt>
                <c:pt idx="1717">
                  <c:v>-9.5351759199999999E-4</c:v>
                </c:pt>
                <c:pt idx="1718">
                  <c:v>-1.0540201039999999E-3</c:v>
                </c:pt>
                <c:pt idx="1719">
                  <c:v>-1.154522615E-3</c:v>
                </c:pt>
                <c:pt idx="1720">
                  <c:v>-1.958542707E-3</c:v>
                </c:pt>
                <c:pt idx="1721">
                  <c:v>-2.3605527530000002E-3</c:v>
                </c:pt>
                <c:pt idx="1722">
                  <c:v>-1.958542707E-3</c:v>
                </c:pt>
                <c:pt idx="1723">
                  <c:v>-2.1595477300000001E-3</c:v>
                </c:pt>
                <c:pt idx="1724">
                  <c:v>-2.2600502419999999E-3</c:v>
                </c:pt>
                <c:pt idx="1725">
                  <c:v>-1.154522615E-3</c:v>
                </c:pt>
                <c:pt idx="1726">
                  <c:v>-1.4560301499999999E-3</c:v>
                </c:pt>
                <c:pt idx="1727">
                  <c:v>-2.2600502419999999E-3</c:v>
                </c:pt>
                <c:pt idx="1728">
                  <c:v>-7.52512569E-4</c:v>
                </c:pt>
                <c:pt idx="1729">
                  <c:v>-1.556532661E-3</c:v>
                </c:pt>
                <c:pt idx="1730">
                  <c:v>-1.4560301499999999E-3</c:v>
                </c:pt>
                <c:pt idx="1731">
                  <c:v>-9.5351759199999999E-4</c:v>
                </c:pt>
                <c:pt idx="1732">
                  <c:v>-1.8580401959999999E-3</c:v>
                </c:pt>
                <c:pt idx="1733">
                  <c:v>-1.7575376840000001E-3</c:v>
                </c:pt>
                <c:pt idx="1734">
                  <c:v>-1.958542707E-3</c:v>
                </c:pt>
                <c:pt idx="1735">
                  <c:v>-2.2600502419999999E-3</c:v>
                </c:pt>
                <c:pt idx="1736">
                  <c:v>-2.3605527530000002E-3</c:v>
                </c:pt>
                <c:pt idx="1737">
                  <c:v>-2.3605527530000002E-3</c:v>
                </c:pt>
                <c:pt idx="1738">
                  <c:v>-2.3605527530000002E-3</c:v>
                </c:pt>
                <c:pt idx="1739">
                  <c:v>-2.5615577759999998E-3</c:v>
                </c:pt>
                <c:pt idx="1740">
                  <c:v>-2.2600502419999999E-3</c:v>
                </c:pt>
                <c:pt idx="1741">
                  <c:v>-1.8580401959999999E-3</c:v>
                </c:pt>
                <c:pt idx="1742">
                  <c:v>-2.2600502419999999E-3</c:v>
                </c:pt>
                <c:pt idx="1743">
                  <c:v>-2.1595477300000001E-3</c:v>
                </c:pt>
                <c:pt idx="1744">
                  <c:v>-2.6620602880000001E-3</c:v>
                </c:pt>
                <c:pt idx="1745">
                  <c:v>-2.6620602880000001E-3</c:v>
                </c:pt>
                <c:pt idx="1746">
                  <c:v>-2.2600502419999999E-3</c:v>
                </c:pt>
                <c:pt idx="1747">
                  <c:v>-1.8580401959999999E-3</c:v>
                </c:pt>
                <c:pt idx="1748">
                  <c:v>-1.958542707E-3</c:v>
                </c:pt>
                <c:pt idx="1749">
                  <c:v>-2.2600502419999999E-3</c:v>
                </c:pt>
                <c:pt idx="1750">
                  <c:v>-3.3655778679999998E-3</c:v>
                </c:pt>
                <c:pt idx="1751">
                  <c:v>-3.0640703329999999E-3</c:v>
                </c:pt>
                <c:pt idx="1752">
                  <c:v>-3.5665828909999999E-3</c:v>
                </c:pt>
                <c:pt idx="1753">
                  <c:v>-3.4660803790000001E-3</c:v>
                </c:pt>
                <c:pt idx="1754">
                  <c:v>-3.1645728450000001E-3</c:v>
                </c:pt>
                <c:pt idx="1755">
                  <c:v>-2.963567822E-3</c:v>
                </c:pt>
                <c:pt idx="1756">
                  <c:v>-1.556532661E-3</c:v>
                </c:pt>
                <c:pt idx="1757">
                  <c:v>-1.7575376840000001E-3</c:v>
                </c:pt>
                <c:pt idx="1758">
                  <c:v>-1.255025127E-3</c:v>
                </c:pt>
                <c:pt idx="1759">
                  <c:v>-1.556532661E-3</c:v>
                </c:pt>
                <c:pt idx="1760">
                  <c:v>-1.556532661E-3</c:v>
                </c:pt>
                <c:pt idx="1761">
                  <c:v>-2.3605527530000002E-3</c:v>
                </c:pt>
                <c:pt idx="1762">
                  <c:v>-1.4560301499999999E-3</c:v>
                </c:pt>
                <c:pt idx="1763">
                  <c:v>-1.958542707E-3</c:v>
                </c:pt>
                <c:pt idx="1764">
                  <c:v>-1.958542707E-3</c:v>
                </c:pt>
                <c:pt idx="1765">
                  <c:v>-6.5201005800000005E-4</c:v>
                </c:pt>
                <c:pt idx="1766">
                  <c:v>-1.3555276380000001E-3</c:v>
                </c:pt>
                <c:pt idx="1767">
                  <c:v>-1.0540201039999999E-3</c:v>
                </c:pt>
                <c:pt idx="1768">
                  <c:v>-2.5000001200000001E-4</c:v>
                </c:pt>
                <c:pt idx="1769">
                  <c:v>-2.5000001200000001E-4</c:v>
                </c:pt>
                <c:pt idx="1770">
                  <c:v>-5.51507546E-4</c:v>
                </c:pt>
                <c:pt idx="1771">
                  <c:v>8.5552761399999996E-4</c:v>
                </c:pt>
                <c:pt idx="1772">
                  <c:v>5.5402008000000002E-4</c:v>
                </c:pt>
                <c:pt idx="1773">
                  <c:v>8.5552761399999996E-4</c:v>
                </c:pt>
                <c:pt idx="1774">
                  <c:v>8.5552761399999996E-4</c:v>
                </c:pt>
                <c:pt idx="1775">
                  <c:v>6.5452259199999996E-4</c:v>
                </c:pt>
                <c:pt idx="1776">
                  <c:v>5.5402008000000002E-4</c:v>
                </c:pt>
                <c:pt idx="1777">
                  <c:v>6.5452259199999996E-4</c:v>
                </c:pt>
                <c:pt idx="1778">
                  <c:v>6.5452259199999996E-4</c:v>
                </c:pt>
                <c:pt idx="1779">
                  <c:v>1.860552729E-3</c:v>
                </c:pt>
                <c:pt idx="1780">
                  <c:v>9.56030126E-4</c:v>
                </c:pt>
                <c:pt idx="1781">
                  <c:v>9.56030126E-4</c:v>
                </c:pt>
                <c:pt idx="1782">
                  <c:v>8.5552761399999996E-4</c:v>
                </c:pt>
                <c:pt idx="1783">
                  <c:v>1.358040172E-3</c:v>
                </c:pt>
                <c:pt idx="1784">
                  <c:v>9.56030126E-4</c:v>
                </c:pt>
                <c:pt idx="1785">
                  <c:v>5.5402008000000002E-4</c:v>
                </c:pt>
                <c:pt idx="1786">
                  <c:v>5.5402008000000002E-4</c:v>
                </c:pt>
                <c:pt idx="1787">
                  <c:v>6.5452259199999996E-4</c:v>
                </c:pt>
                <c:pt idx="1788">
                  <c:v>5.1507522999999997E-5</c:v>
                </c:pt>
                <c:pt idx="1789">
                  <c:v>5.1507522999999997E-5</c:v>
                </c:pt>
                <c:pt idx="1790">
                  <c:v>-1.0540201039999999E-3</c:v>
                </c:pt>
                <c:pt idx="1791">
                  <c:v>-1.8580401959999999E-3</c:v>
                </c:pt>
                <c:pt idx="1792">
                  <c:v>-1.8580401959999999E-3</c:v>
                </c:pt>
                <c:pt idx="1793">
                  <c:v>-3.3655778679999998E-3</c:v>
                </c:pt>
                <c:pt idx="1794">
                  <c:v>-2.2600502419999999E-3</c:v>
                </c:pt>
                <c:pt idx="1795">
                  <c:v>-2.963567822E-3</c:v>
                </c:pt>
                <c:pt idx="1796">
                  <c:v>-3.0640703329999999E-3</c:v>
                </c:pt>
                <c:pt idx="1797">
                  <c:v>-3.0640703329999999E-3</c:v>
                </c:pt>
                <c:pt idx="1798">
                  <c:v>-3.8680904249999998E-3</c:v>
                </c:pt>
                <c:pt idx="1799">
                  <c:v>-3.4660803790000001E-3</c:v>
                </c:pt>
                <c:pt idx="1800">
                  <c:v>-3.3655778679999998E-3</c:v>
                </c:pt>
                <c:pt idx="1801">
                  <c:v>-4.5716080060000004E-3</c:v>
                </c:pt>
                <c:pt idx="1802">
                  <c:v>-5.878140655E-3</c:v>
                </c:pt>
                <c:pt idx="1803">
                  <c:v>-5.7776381440000002E-3</c:v>
                </c:pt>
                <c:pt idx="1804">
                  <c:v>-5.1746230749999999E-3</c:v>
                </c:pt>
                <c:pt idx="1805">
                  <c:v>-4.2701004710000001E-3</c:v>
                </c:pt>
                <c:pt idx="1806">
                  <c:v>-5.878140655E-3</c:v>
                </c:pt>
                <c:pt idx="1807">
                  <c:v>-4.6721105170000003E-3</c:v>
                </c:pt>
                <c:pt idx="1808">
                  <c:v>-4.9736180519999998E-3</c:v>
                </c:pt>
                <c:pt idx="1809">
                  <c:v>-4.7726130289999997E-3</c:v>
                </c:pt>
                <c:pt idx="1810">
                  <c:v>-3.9685929370000001E-3</c:v>
                </c:pt>
                <c:pt idx="1811">
                  <c:v>-2.963567822E-3</c:v>
                </c:pt>
                <c:pt idx="1812">
                  <c:v>-1.8580401959999999E-3</c:v>
                </c:pt>
                <c:pt idx="1813">
                  <c:v>-7.52512569E-4</c:v>
                </c:pt>
                <c:pt idx="1814">
                  <c:v>-1.3555276380000001E-3</c:v>
                </c:pt>
                <c:pt idx="1815">
                  <c:v>-1.556532661E-3</c:v>
                </c:pt>
                <c:pt idx="1816">
                  <c:v>-4.5100503500000001E-4</c:v>
                </c:pt>
                <c:pt idx="1817">
                  <c:v>-6.5201005800000005E-4</c:v>
                </c:pt>
                <c:pt idx="1818">
                  <c:v>-7.52512569E-4</c:v>
                </c:pt>
                <c:pt idx="1819">
                  <c:v>-3.5050252300000001E-4</c:v>
                </c:pt>
                <c:pt idx="1820">
                  <c:v>-6.5201005800000005E-4</c:v>
                </c:pt>
                <c:pt idx="1821">
                  <c:v>5.1507522999999997E-5</c:v>
                </c:pt>
                <c:pt idx="1822">
                  <c:v>1.52010034E-4</c:v>
                </c:pt>
                <c:pt idx="1823">
                  <c:v>5.5402008000000002E-4</c:v>
                </c:pt>
                <c:pt idx="1824">
                  <c:v>6.5452259199999996E-4</c:v>
                </c:pt>
                <c:pt idx="1825">
                  <c:v>1.0565326380000001E-3</c:v>
                </c:pt>
                <c:pt idx="1826">
                  <c:v>2.1620602640000002E-3</c:v>
                </c:pt>
                <c:pt idx="1827">
                  <c:v>2.262562775E-3</c:v>
                </c:pt>
                <c:pt idx="1828">
                  <c:v>2.0615577519999999E-3</c:v>
                </c:pt>
                <c:pt idx="1829">
                  <c:v>1.760050218E-3</c:v>
                </c:pt>
                <c:pt idx="1830">
                  <c:v>1.458542683E-3</c:v>
                </c:pt>
                <c:pt idx="1831">
                  <c:v>1.358040172E-3</c:v>
                </c:pt>
                <c:pt idx="1832">
                  <c:v>1.52010034E-4</c:v>
                </c:pt>
                <c:pt idx="1833">
                  <c:v>5.1507522999999997E-5</c:v>
                </c:pt>
                <c:pt idx="1834">
                  <c:v>-1.0540201039999999E-3</c:v>
                </c:pt>
                <c:pt idx="1835">
                  <c:v>-8.5301508100000005E-4</c:v>
                </c:pt>
                <c:pt idx="1836">
                  <c:v>-1.154522615E-3</c:v>
                </c:pt>
                <c:pt idx="1837">
                  <c:v>-2.2600502419999999E-3</c:v>
                </c:pt>
                <c:pt idx="1838">
                  <c:v>-1.7575376840000001E-3</c:v>
                </c:pt>
                <c:pt idx="1839">
                  <c:v>-2.6620602880000001E-3</c:v>
                </c:pt>
                <c:pt idx="1840">
                  <c:v>-2.3605527530000002E-3</c:v>
                </c:pt>
                <c:pt idx="1841">
                  <c:v>-3.0640703329999999E-3</c:v>
                </c:pt>
                <c:pt idx="1842">
                  <c:v>-3.8680904249999998E-3</c:v>
                </c:pt>
                <c:pt idx="1843">
                  <c:v>-2.6620602880000001E-3</c:v>
                </c:pt>
                <c:pt idx="1844">
                  <c:v>-3.1645728450000001E-3</c:v>
                </c:pt>
                <c:pt idx="1845">
                  <c:v>-3.4660803790000001E-3</c:v>
                </c:pt>
                <c:pt idx="1846">
                  <c:v>-2.963567822E-3</c:v>
                </c:pt>
                <c:pt idx="1847">
                  <c:v>-3.4660803790000001E-3</c:v>
                </c:pt>
                <c:pt idx="1848">
                  <c:v>-3.0640703329999999E-3</c:v>
                </c:pt>
                <c:pt idx="1849">
                  <c:v>-2.7625627989999999E-3</c:v>
                </c:pt>
                <c:pt idx="1850">
                  <c:v>-2.6620602880000001E-3</c:v>
                </c:pt>
                <c:pt idx="1851">
                  <c:v>-3.1645728450000001E-3</c:v>
                </c:pt>
                <c:pt idx="1852">
                  <c:v>-1.958542707E-3</c:v>
                </c:pt>
                <c:pt idx="1853">
                  <c:v>-1.8580401959999999E-3</c:v>
                </c:pt>
                <c:pt idx="1854">
                  <c:v>-1.7575376840000001E-3</c:v>
                </c:pt>
                <c:pt idx="1855">
                  <c:v>-1.556532661E-3</c:v>
                </c:pt>
                <c:pt idx="1856">
                  <c:v>-3.5050252300000001E-4</c:v>
                </c:pt>
                <c:pt idx="1857">
                  <c:v>-2.5000001200000001E-4</c:v>
                </c:pt>
                <c:pt idx="1858">
                  <c:v>-1.556532661E-3</c:v>
                </c:pt>
                <c:pt idx="1859">
                  <c:v>5.5402008000000002E-4</c:v>
                </c:pt>
                <c:pt idx="1860">
                  <c:v>-9.5351759199999999E-4</c:v>
                </c:pt>
                <c:pt idx="1861">
                  <c:v>4.5351756800000002E-4</c:v>
                </c:pt>
                <c:pt idx="1862">
                  <c:v>-3.5050252300000001E-4</c:v>
                </c:pt>
                <c:pt idx="1863">
                  <c:v>-1.154522615E-3</c:v>
                </c:pt>
                <c:pt idx="1864">
                  <c:v>4.5351756800000002E-4</c:v>
                </c:pt>
                <c:pt idx="1865">
                  <c:v>-1.4949749999999999E-4</c:v>
                </c:pt>
                <c:pt idx="1866">
                  <c:v>-6.5201005800000005E-4</c:v>
                </c:pt>
                <c:pt idx="1867">
                  <c:v>-5.51507546E-4</c:v>
                </c:pt>
                <c:pt idx="1868">
                  <c:v>-3.5050252300000001E-4</c:v>
                </c:pt>
                <c:pt idx="1869">
                  <c:v>-7.52512569E-4</c:v>
                </c:pt>
                <c:pt idx="1870">
                  <c:v>-1.4560301499999999E-3</c:v>
                </c:pt>
                <c:pt idx="1871">
                  <c:v>-2.2600502419999999E-3</c:v>
                </c:pt>
                <c:pt idx="1872">
                  <c:v>-3.0640703329999999E-3</c:v>
                </c:pt>
                <c:pt idx="1873">
                  <c:v>-4.2701004710000001E-3</c:v>
                </c:pt>
                <c:pt idx="1874">
                  <c:v>-2.963567822E-3</c:v>
                </c:pt>
                <c:pt idx="1875">
                  <c:v>-4.2701004710000001E-3</c:v>
                </c:pt>
                <c:pt idx="1876">
                  <c:v>-5.0741205629999996E-3</c:v>
                </c:pt>
                <c:pt idx="1877">
                  <c:v>-3.9685929370000001E-3</c:v>
                </c:pt>
                <c:pt idx="1878">
                  <c:v>-4.5716080060000004E-3</c:v>
                </c:pt>
                <c:pt idx="1879">
                  <c:v>-3.8680904249999998E-3</c:v>
                </c:pt>
                <c:pt idx="1880">
                  <c:v>-3.1645728450000001E-3</c:v>
                </c:pt>
                <c:pt idx="1881">
                  <c:v>-3.0640703329999999E-3</c:v>
                </c:pt>
                <c:pt idx="1882">
                  <c:v>-2.3605527530000002E-3</c:v>
                </c:pt>
                <c:pt idx="1883">
                  <c:v>-1.4560301499999999E-3</c:v>
                </c:pt>
                <c:pt idx="1884">
                  <c:v>-2.7625627989999999E-3</c:v>
                </c:pt>
                <c:pt idx="1885">
                  <c:v>-1.8580401959999999E-3</c:v>
                </c:pt>
                <c:pt idx="1886">
                  <c:v>-1.7575376840000001E-3</c:v>
                </c:pt>
                <c:pt idx="1887">
                  <c:v>-2.2600502419999999E-3</c:v>
                </c:pt>
                <c:pt idx="1888">
                  <c:v>-2.6620602880000001E-3</c:v>
                </c:pt>
                <c:pt idx="1889">
                  <c:v>-1.8580401959999999E-3</c:v>
                </c:pt>
                <c:pt idx="1890">
                  <c:v>-2.2600502419999999E-3</c:v>
                </c:pt>
                <c:pt idx="1891">
                  <c:v>-1.4560301499999999E-3</c:v>
                </c:pt>
                <c:pt idx="1892">
                  <c:v>-9.5351759199999999E-4</c:v>
                </c:pt>
                <c:pt idx="1893">
                  <c:v>-1.0540201039999999E-3</c:v>
                </c:pt>
                <c:pt idx="1894">
                  <c:v>-2.5000001200000001E-4</c:v>
                </c:pt>
                <c:pt idx="1895">
                  <c:v>1.0565326380000001E-3</c:v>
                </c:pt>
                <c:pt idx="1896">
                  <c:v>1.358040172E-3</c:v>
                </c:pt>
                <c:pt idx="1897">
                  <c:v>1.358040172E-3</c:v>
                </c:pt>
                <c:pt idx="1898">
                  <c:v>1.760050218E-3</c:v>
                </c:pt>
                <c:pt idx="1899">
                  <c:v>1.358040172E-3</c:v>
                </c:pt>
                <c:pt idx="1900">
                  <c:v>1.760050218E-3</c:v>
                </c:pt>
                <c:pt idx="1901">
                  <c:v>9.56030126E-4</c:v>
                </c:pt>
                <c:pt idx="1902">
                  <c:v>9.56030126E-4</c:v>
                </c:pt>
                <c:pt idx="1903">
                  <c:v>9.56030126E-4</c:v>
                </c:pt>
                <c:pt idx="1904">
                  <c:v>5.5402008000000002E-4</c:v>
                </c:pt>
                <c:pt idx="1905">
                  <c:v>-6.5201005800000005E-4</c:v>
                </c:pt>
                <c:pt idx="1906">
                  <c:v>-3.5050252300000001E-4</c:v>
                </c:pt>
                <c:pt idx="1907">
                  <c:v>-6.5201005800000005E-4</c:v>
                </c:pt>
                <c:pt idx="1908">
                  <c:v>-1.154522615E-3</c:v>
                </c:pt>
                <c:pt idx="1909">
                  <c:v>-9.5351759199999999E-4</c:v>
                </c:pt>
                <c:pt idx="1910">
                  <c:v>-2.5000001200000001E-4</c:v>
                </c:pt>
                <c:pt idx="1911">
                  <c:v>-1.0540201039999999E-3</c:v>
                </c:pt>
                <c:pt idx="1912">
                  <c:v>-1.7575376840000001E-3</c:v>
                </c:pt>
                <c:pt idx="1913">
                  <c:v>-1.556532661E-3</c:v>
                </c:pt>
                <c:pt idx="1914">
                  <c:v>-1.958542707E-3</c:v>
                </c:pt>
                <c:pt idx="1915">
                  <c:v>-2.1595477300000001E-3</c:v>
                </c:pt>
                <c:pt idx="1916">
                  <c:v>-3.0640703329999999E-3</c:v>
                </c:pt>
                <c:pt idx="1917">
                  <c:v>-3.767587914E-3</c:v>
                </c:pt>
                <c:pt idx="1918">
                  <c:v>-2.963567822E-3</c:v>
                </c:pt>
                <c:pt idx="1919">
                  <c:v>-3.5665828909999999E-3</c:v>
                </c:pt>
                <c:pt idx="1920">
                  <c:v>-4.9736180519999998E-3</c:v>
                </c:pt>
                <c:pt idx="1921">
                  <c:v>-4.2701004710000001E-3</c:v>
                </c:pt>
                <c:pt idx="1922">
                  <c:v>-3.4660803790000001E-3</c:v>
                </c:pt>
                <c:pt idx="1923">
                  <c:v>-4.2701004710000001E-3</c:v>
                </c:pt>
                <c:pt idx="1924">
                  <c:v>-2.6620602880000001E-3</c:v>
                </c:pt>
                <c:pt idx="1925">
                  <c:v>-1.958542707E-3</c:v>
                </c:pt>
                <c:pt idx="1926">
                  <c:v>-2.963567822E-3</c:v>
                </c:pt>
                <c:pt idx="1927">
                  <c:v>-2.2600502419999999E-3</c:v>
                </c:pt>
                <c:pt idx="1928">
                  <c:v>-2.7625627989999999E-3</c:v>
                </c:pt>
                <c:pt idx="1929">
                  <c:v>-1.8580401959999999E-3</c:v>
                </c:pt>
                <c:pt idx="1930">
                  <c:v>-2.2600502419999999E-3</c:v>
                </c:pt>
                <c:pt idx="1931">
                  <c:v>-3.1645728450000001E-3</c:v>
                </c:pt>
                <c:pt idx="1932">
                  <c:v>-1.958542707E-3</c:v>
                </c:pt>
                <c:pt idx="1933">
                  <c:v>-1.3555276380000001E-3</c:v>
                </c:pt>
                <c:pt idx="1934">
                  <c:v>-1.7575376840000001E-3</c:v>
                </c:pt>
                <c:pt idx="1935">
                  <c:v>-1.556532661E-3</c:v>
                </c:pt>
                <c:pt idx="1936">
                  <c:v>-6.5201005800000005E-4</c:v>
                </c:pt>
                <c:pt idx="1937">
                  <c:v>-2.5000001200000001E-4</c:v>
                </c:pt>
                <c:pt idx="1938">
                  <c:v>-7.52512569E-4</c:v>
                </c:pt>
                <c:pt idx="1939">
                  <c:v>-6.5201005800000005E-4</c:v>
                </c:pt>
                <c:pt idx="1940">
                  <c:v>4.5351756800000002E-4</c:v>
                </c:pt>
                <c:pt idx="1941">
                  <c:v>2.5251254600000002E-4</c:v>
                </c:pt>
                <c:pt idx="1942">
                  <c:v>-2.5000001200000001E-4</c:v>
                </c:pt>
                <c:pt idx="1943">
                  <c:v>-5.51507546E-4</c:v>
                </c:pt>
                <c:pt idx="1944">
                  <c:v>1.52010034E-4</c:v>
                </c:pt>
                <c:pt idx="1945">
                  <c:v>5.1507522999999997E-5</c:v>
                </c:pt>
                <c:pt idx="1946">
                  <c:v>-9.5351759199999999E-4</c:v>
                </c:pt>
                <c:pt idx="1947">
                  <c:v>5.1507522999999997E-5</c:v>
                </c:pt>
                <c:pt idx="1948">
                  <c:v>-2.5000001200000001E-4</c:v>
                </c:pt>
                <c:pt idx="1949">
                  <c:v>5.1507522999999997E-5</c:v>
                </c:pt>
                <c:pt idx="1950">
                  <c:v>5.1507522999999997E-5</c:v>
                </c:pt>
                <c:pt idx="1951">
                  <c:v>-7.52512569E-4</c:v>
                </c:pt>
                <c:pt idx="1952">
                  <c:v>-2.5000001200000001E-4</c:v>
                </c:pt>
                <c:pt idx="1953">
                  <c:v>5.5402008000000002E-4</c:v>
                </c:pt>
                <c:pt idx="1954">
                  <c:v>-1.4560301499999999E-3</c:v>
                </c:pt>
                <c:pt idx="1955">
                  <c:v>-1.0540201039999999E-3</c:v>
                </c:pt>
                <c:pt idx="1956">
                  <c:v>-2.5000001200000001E-4</c:v>
                </c:pt>
                <c:pt idx="1957">
                  <c:v>-5.51507546E-4</c:v>
                </c:pt>
                <c:pt idx="1958">
                  <c:v>-9.5351759199999999E-4</c:v>
                </c:pt>
                <c:pt idx="1959">
                  <c:v>-1.0540201039999999E-3</c:v>
                </c:pt>
                <c:pt idx="1960">
                  <c:v>-1.0540201039999999E-3</c:v>
                </c:pt>
                <c:pt idx="1961">
                  <c:v>-2.2600502419999999E-3</c:v>
                </c:pt>
                <c:pt idx="1962">
                  <c:v>-1.958542707E-3</c:v>
                </c:pt>
                <c:pt idx="1963">
                  <c:v>-1.4560301499999999E-3</c:v>
                </c:pt>
                <c:pt idx="1964">
                  <c:v>-2.1595477300000001E-3</c:v>
                </c:pt>
                <c:pt idx="1965">
                  <c:v>-2.6620602880000001E-3</c:v>
                </c:pt>
                <c:pt idx="1966">
                  <c:v>-2.3605527530000002E-3</c:v>
                </c:pt>
                <c:pt idx="1967">
                  <c:v>-2.7625627989999999E-3</c:v>
                </c:pt>
                <c:pt idx="1968">
                  <c:v>-3.0640703329999999E-3</c:v>
                </c:pt>
                <c:pt idx="1969">
                  <c:v>-2.6620602880000001E-3</c:v>
                </c:pt>
                <c:pt idx="1970">
                  <c:v>-3.4660803790000001E-3</c:v>
                </c:pt>
                <c:pt idx="1971">
                  <c:v>-1.7575376840000001E-3</c:v>
                </c:pt>
                <c:pt idx="1972">
                  <c:v>-1.8580401959999999E-3</c:v>
                </c:pt>
                <c:pt idx="1973">
                  <c:v>-2.2600502419999999E-3</c:v>
                </c:pt>
                <c:pt idx="1974">
                  <c:v>-1.8580401959999999E-3</c:v>
                </c:pt>
                <c:pt idx="1975">
                  <c:v>-1.4560301499999999E-3</c:v>
                </c:pt>
                <c:pt idx="1976">
                  <c:v>-7.52512569E-4</c:v>
                </c:pt>
                <c:pt idx="1977">
                  <c:v>-1.0540201039999999E-3</c:v>
                </c:pt>
                <c:pt idx="1978">
                  <c:v>4.5351756800000002E-4</c:v>
                </c:pt>
                <c:pt idx="1979">
                  <c:v>9.56030126E-4</c:v>
                </c:pt>
                <c:pt idx="1980">
                  <c:v>9.56030126E-4</c:v>
                </c:pt>
                <c:pt idx="1981">
                  <c:v>9.56030126E-4</c:v>
                </c:pt>
                <c:pt idx="1982">
                  <c:v>1.52010034E-4</c:v>
                </c:pt>
                <c:pt idx="1983">
                  <c:v>-1.0540201039999999E-3</c:v>
                </c:pt>
                <c:pt idx="1984">
                  <c:v>4.5351756800000002E-4</c:v>
                </c:pt>
                <c:pt idx="1985">
                  <c:v>-2.5000001200000001E-4</c:v>
                </c:pt>
                <c:pt idx="1986">
                  <c:v>-1.958542707E-3</c:v>
                </c:pt>
                <c:pt idx="1987">
                  <c:v>-1.7575376840000001E-3</c:v>
                </c:pt>
                <c:pt idx="1988">
                  <c:v>-1.4560301499999999E-3</c:v>
                </c:pt>
                <c:pt idx="1989">
                  <c:v>-7.52512569E-4</c:v>
                </c:pt>
                <c:pt idx="1990">
                  <c:v>-1.4560301499999999E-3</c:v>
                </c:pt>
                <c:pt idx="1991">
                  <c:v>-2.2600502419999999E-3</c:v>
                </c:pt>
                <c:pt idx="1992">
                  <c:v>-3.0640703329999999E-3</c:v>
                </c:pt>
                <c:pt idx="1993">
                  <c:v>-3.0640703329999999E-3</c:v>
                </c:pt>
                <c:pt idx="1994">
                  <c:v>-3.0640703329999999E-3</c:v>
                </c:pt>
                <c:pt idx="1995">
                  <c:v>-3.8680904249999998E-3</c:v>
                </c:pt>
                <c:pt idx="1996">
                  <c:v>-3.3655778679999998E-3</c:v>
                </c:pt>
                <c:pt idx="1997">
                  <c:v>-4.2701004710000001E-3</c:v>
                </c:pt>
                <c:pt idx="1998">
                  <c:v>-3.8680904249999998E-3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81-4525-8C29-B4CAC89F8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361936"/>
        <c:axId val="1027363376"/>
      </c:scatterChart>
      <c:valAx>
        <c:axId val="102736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363376"/>
        <c:crosses val="autoZero"/>
        <c:crossBetween val="midCat"/>
      </c:valAx>
      <c:valAx>
        <c:axId val="102736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36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Square</a:t>
            </a:r>
            <a:r>
              <a:rPr lang="en-US" baseline="0"/>
              <a:t> Wave Trace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'Square Wave'!$A$3:$A$1048576</c:f>
              <c:numCache>
                <c:formatCode>0.00E+00</c:formatCode>
                <c:ptCount val="1048574"/>
                <c:pt idx="0">
                  <c:v>-7.6199999999999999E-6</c:v>
                </c:pt>
                <c:pt idx="1">
                  <c:v>-7.6149999999999999E-6</c:v>
                </c:pt>
                <c:pt idx="2">
                  <c:v>-7.61E-6</c:v>
                </c:pt>
                <c:pt idx="3">
                  <c:v>-7.605E-6</c:v>
                </c:pt>
                <c:pt idx="4">
                  <c:v>-7.6000000000000001E-6</c:v>
                </c:pt>
                <c:pt idx="5">
                  <c:v>-7.5950000000000001E-6</c:v>
                </c:pt>
                <c:pt idx="6">
                  <c:v>-7.5900000000000002E-6</c:v>
                </c:pt>
                <c:pt idx="7">
                  <c:v>-7.5850000000000002E-6</c:v>
                </c:pt>
                <c:pt idx="8">
                  <c:v>-7.5800000000000003E-6</c:v>
                </c:pt>
                <c:pt idx="9">
                  <c:v>-7.5750000000000003E-6</c:v>
                </c:pt>
                <c:pt idx="10">
                  <c:v>-7.5700000000000004E-6</c:v>
                </c:pt>
                <c:pt idx="11">
                  <c:v>-7.5650000000000004E-6</c:v>
                </c:pt>
                <c:pt idx="12">
                  <c:v>-7.5599999999999996E-6</c:v>
                </c:pt>
                <c:pt idx="13">
                  <c:v>-7.5549999999999997E-6</c:v>
                </c:pt>
                <c:pt idx="14">
                  <c:v>-7.5499999999999997E-6</c:v>
                </c:pt>
                <c:pt idx="15">
                  <c:v>-7.5449999999999998E-6</c:v>
                </c:pt>
                <c:pt idx="16">
                  <c:v>-7.5399999999999998E-6</c:v>
                </c:pt>
                <c:pt idx="17">
                  <c:v>-7.5349999999999999E-6</c:v>
                </c:pt>
                <c:pt idx="18">
                  <c:v>-7.5299999999999999E-6</c:v>
                </c:pt>
                <c:pt idx="19">
                  <c:v>-7.525E-6</c:v>
                </c:pt>
                <c:pt idx="20">
                  <c:v>-7.52E-6</c:v>
                </c:pt>
                <c:pt idx="21">
                  <c:v>-7.515E-6</c:v>
                </c:pt>
                <c:pt idx="22">
                  <c:v>-7.5100000000000001E-6</c:v>
                </c:pt>
                <c:pt idx="23">
                  <c:v>-7.5050000000000001E-6</c:v>
                </c:pt>
                <c:pt idx="24">
                  <c:v>-7.5000000000000002E-6</c:v>
                </c:pt>
                <c:pt idx="25">
                  <c:v>-7.4950000000000002E-6</c:v>
                </c:pt>
                <c:pt idx="26">
                  <c:v>-7.4900000000000003E-6</c:v>
                </c:pt>
                <c:pt idx="27">
                  <c:v>-7.4850000000000003E-6</c:v>
                </c:pt>
                <c:pt idx="28">
                  <c:v>-7.4800000000000004E-6</c:v>
                </c:pt>
                <c:pt idx="29">
                  <c:v>-7.4749999999999996E-6</c:v>
                </c:pt>
                <c:pt idx="30">
                  <c:v>-7.4699999999999996E-6</c:v>
                </c:pt>
                <c:pt idx="31">
                  <c:v>-7.4649999999999997E-6</c:v>
                </c:pt>
                <c:pt idx="32">
                  <c:v>-7.4599999999999997E-6</c:v>
                </c:pt>
                <c:pt idx="33">
                  <c:v>-7.4549999999999998E-6</c:v>
                </c:pt>
                <c:pt idx="34">
                  <c:v>-7.4499999999999998E-6</c:v>
                </c:pt>
                <c:pt idx="35">
                  <c:v>-7.4449999999999999E-6</c:v>
                </c:pt>
                <c:pt idx="36">
                  <c:v>-7.4399999999999999E-6</c:v>
                </c:pt>
                <c:pt idx="37">
                  <c:v>-7.435E-6</c:v>
                </c:pt>
                <c:pt idx="38">
                  <c:v>-7.43E-6</c:v>
                </c:pt>
                <c:pt idx="39">
                  <c:v>-7.4250000000000001E-6</c:v>
                </c:pt>
                <c:pt idx="40">
                  <c:v>-7.4200000000000001E-6</c:v>
                </c:pt>
                <c:pt idx="41">
                  <c:v>-7.4150000000000002E-6</c:v>
                </c:pt>
                <c:pt idx="42">
                  <c:v>-7.4100000000000002E-6</c:v>
                </c:pt>
                <c:pt idx="43">
                  <c:v>-7.4050000000000003E-6</c:v>
                </c:pt>
                <c:pt idx="44">
                  <c:v>-7.4000000000000003E-6</c:v>
                </c:pt>
                <c:pt idx="45">
                  <c:v>-7.3950000000000003E-6</c:v>
                </c:pt>
                <c:pt idx="46">
                  <c:v>-7.3900000000000004E-6</c:v>
                </c:pt>
                <c:pt idx="47">
                  <c:v>-7.3849999999999996E-6</c:v>
                </c:pt>
                <c:pt idx="48">
                  <c:v>-7.3799999999999996E-6</c:v>
                </c:pt>
                <c:pt idx="49">
                  <c:v>-7.3749999999999997E-6</c:v>
                </c:pt>
                <c:pt idx="50">
                  <c:v>-7.3699999999999997E-6</c:v>
                </c:pt>
                <c:pt idx="51">
                  <c:v>-7.3649999999999998E-6</c:v>
                </c:pt>
                <c:pt idx="52">
                  <c:v>-7.3599999999999998E-6</c:v>
                </c:pt>
                <c:pt idx="53">
                  <c:v>-7.3549999999999999E-6</c:v>
                </c:pt>
                <c:pt idx="54">
                  <c:v>-7.3499999999999999E-6</c:v>
                </c:pt>
                <c:pt idx="55">
                  <c:v>-7.345E-6</c:v>
                </c:pt>
                <c:pt idx="56">
                  <c:v>-7.34E-6</c:v>
                </c:pt>
                <c:pt idx="57">
                  <c:v>-7.3350000000000001E-6</c:v>
                </c:pt>
                <c:pt idx="58">
                  <c:v>-7.3300000000000001E-6</c:v>
                </c:pt>
                <c:pt idx="59">
                  <c:v>-7.3250000000000002E-6</c:v>
                </c:pt>
                <c:pt idx="60">
                  <c:v>-7.3200000000000002E-6</c:v>
                </c:pt>
                <c:pt idx="61">
                  <c:v>-7.3150000000000003E-6</c:v>
                </c:pt>
                <c:pt idx="62">
                  <c:v>-7.3100000000000003E-6</c:v>
                </c:pt>
                <c:pt idx="63">
                  <c:v>-7.3050000000000004E-6</c:v>
                </c:pt>
                <c:pt idx="64">
                  <c:v>-7.3000000000000004E-6</c:v>
                </c:pt>
                <c:pt idx="65">
                  <c:v>-7.2949999999999996E-6</c:v>
                </c:pt>
                <c:pt idx="66">
                  <c:v>-7.2899999999999997E-6</c:v>
                </c:pt>
                <c:pt idx="67">
                  <c:v>-7.2849999999999997E-6</c:v>
                </c:pt>
                <c:pt idx="68">
                  <c:v>-7.2799999999999998E-6</c:v>
                </c:pt>
                <c:pt idx="69">
                  <c:v>-7.2749999999999998E-6</c:v>
                </c:pt>
                <c:pt idx="70">
                  <c:v>-7.2699999999999999E-6</c:v>
                </c:pt>
                <c:pt idx="71">
                  <c:v>-7.2649999999999999E-6</c:v>
                </c:pt>
                <c:pt idx="72">
                  <c:v>-7.2599999999999999E-6</c:v>
                </c:pt>
                <c:pt idx="73">
                  <c:v>-7.255E-6</c:v>
                </c:pt>
                <c:pt idx="74">
                  <c:v>-7.25E-6</c:v>
                </c:pt>
                <c:pt idx="75">
                  <c:v>-7.2450000000000001E-6</c:v>
                </c:pt>
                <c:pt idx="76">
                  <c:v>-7.2400000000000001E-6</c:v>
                </c:pt>
                <c:pt idx="77">
                  <c:v>-7.2350000000000002E-6</c:v>
                </c:pt>
                <c:pt idx="78">
                  <c:v>-7.2300000000000002E-6</c:v>
                </c:pt>
                <c:pt idx="79">
                  <c:v>-7.2250000000000003E-6</c:v>
                </c:pt>
                <c:pt idx="80">
                  <c:v>-7.2200000000000003E-6</c:v>
                </c:pt>
                <c:pt idx="81">
                  <c:v>-7.2150000000000004E-6</c:v>
                </c:pt>
                <c:pt idx="82">
                  <c:v>-7.2099999999999996E-6</c:v>
                </c:pt>
                <c:pt idx="83">
                  <c:v>-7.2049999999999996E-6</c:v>
                </c:pt>
                <c:pt idx="84">
                  <c:v>-7.1999999999999997E-6</c:v>
                </c:pt>
                <c:pt idx="85">
                  <c:v>-7.1949999999999997E-6</c:v>
                </c:pt>
                <c:pt idx="86">
                  <c:v>-7.1899999999999998E-6</c:v>
                </c:pt>
                <c:pt idx="87">
                  <c:v>-7.1849999999999998E-6</c:v>
                </c:pt>
                <c:pt idx="88">
                  <c:v>-7.1799999999999999E-6</c:v>
                </c:pt>
                <c:pt idx="89">
                  <c:v>-7.1749999999999999E-6</c:v>
                </c:pt>
                <c:pt idx="90">
                  <c:v>-7.17E-6</c:v>
                </c:pt>
                <c:pt idx="91">
                  <c:v>-7.165E-6</c:v>
                </c:pt>
                <c:pt idx="92">
                  <c:v>-7.1600000000000001E-6</c:v>
                </c:pt>
                <c:pt idx="93">
                  <c:v>-7.1550000000000001E-6</c:v>
                </c:pt>
                <c:pt idx="94">
                  <c:v>-7.1500000000000002E-6</c:v>
                </c:pt>
                <c:pt idx="95">
                  <c:v>-7.1450000000000002E-6</c:v>
                </c:pt>
                <c:pt idx="96">
                  <c:v>-7.1400000000000002E-6</c:v>
                </c:pt>
                <c:pt idx="97">
                  <c:v>-7.1350000000000003E-6</c:v>
                </c:pt>
                <c:pt idx="98">
                  <c:v>-7.1300000000000003E-6</c:v>
                </c:pt>
                <c:pt idx="99">
                  <c:v>-7.1250000000000004E-6</c:v>
                </c:pt>
                <c:pt idx="100">
                  <c:v>-7.1199999999999996E-6</c:v>
                </c:pt>
                <c:pt idx="101">
                  <c:v>-7.1149999999999996E-6</c:v>
                </c:pt>
                <c:pt idx="102">
                  <c:v>-7.1099999999999997E-6</c:v>
                </c:pt>
                <c:pt idx="103">
                  <c:v>-7.1049999999999997E-6</c:v>
                </c:pt>
                <c:pt idx="104">
                  <c:v>-7.0999999999999998E-6</c:v>
                </c:pt>
                <c:pt idx="105">
                  <c:v>-7.0949999999999998E-6</c:v>
                </c:pt>
                <c:pt idx="106">
                  <c:v>-7.0899999999999999E-6</c:v>
                </c:pt>
                <c:pt idx="107">
                  <c:v>-7.0849999999999999E-6</c:v>
                </c:pt>
                <c:pt idx="108">
                  <c:v>-7.08E-6</c:v>
                </c:pt>
                <c:pt idx="109">
                  <c:v>-7.075E-6</c:v>
                </c:pt>
                <c:pt idx="110">
                  <c:v>-7.0700000000000001E-6</c:v>
                </c:pt>
                <c:pt idx="111">
                  <c:v>-7.0650000000000001E-6</c:v>
                </c:pt>
                <c:pt idx="112">
                  <c:v>-7.0600000000000002E-6</c:v>
                </c:pt>
                <c:pt idx="113">
                  <c:v>-7.0550000000000002E-6</c:v>
                </c:pt>
                <c:pt idx="114">
                  <c:v>-7.0500000000000003E-6</c:v>
                </c:pt>
                <c:pt idx="115">
                  <c:v>-7.0450000000000003E-6</c:v>
                </c:pt>
                <c:pt idx="116">
                  <c:v>-7.0400000000000004E-6</c:v>
                </c:pt>
                <c:pt idx="117">
                  <c:v>-7.0350000000000004E-6</c:v>
                </c:pt>
                <c:pt idx="118">
                  <c:v>-7.0299999999999996E-6</c:v>
                </c:pt>
                <c:pt idx="119">
                  <c:v>-7.0249999999999997E-6</c:v>
                </c:pt>
                <c:pt idx="120">
                  <c:v>-7.0199999999999997E-6</c:v>
                </c:pt>
                <c:pt idx="121">
                  <c:v>-7.0149999999999998E-6</c:v>
                </c:pt>
                <c:pt idx="122">
                  <c:v>-7.0099999999999998E-6</c:v>
                </c:pt>
                <c:pt idx="123">
                  <c:v>-7.0049999999999998E-6</c:v>
                </c:pt>
                <c:pt idx="124">
                  <c:v>-6.9999999999999999E-6</c:v>
                </c:pt>
                <c:pt idx="125">
                  <c:v>-6.9949999999999999E-6</c:v>
                </c:pt>
                <c:pt idx="126">
                  <c:v>-6.99E-6</c:v>
                </c:pt>
                <c:pt idx="127">
                  <c:v>-6.985E-6</c:v>
                </c:pt>
                <c:pt idx="128">
                  <c:v>-6.9800000000000001E-6</c:v>
                </c:pt>
                <c:pt idx="129">
                  <c:v>-6.9750000000000001E-6</c:v>
                </c:pt>
                <c:pt idx="130">
                  <c:v>-6.9700000000000002E-6</c:v>
                </c:pt>
                <c:pt idx="131">
                  <c:v>-6.9650000000000002E-6</c:v>
                </c:pt>
                <c:pt idx="132">
                  <c:v>-6.9600000000000003E-6</c:v>
                </c:pt>
                <c:pt idx="133">
                  <c:v>-6.9550000000000003E-6</c:v>
                </c:pt>
                <c:pt idx="134">
                  <c:v>-6.9500000000000004E-6</c:v>
                </c:pt>
                <c:pt idx="135">
                  <c:v>-6.9450000000000004E-6</c:v>
                </c:pt>
                <c:pt idx="136">
                  <c:v>-6.9399999999999996E-6</c:v>
                </c:pt>
                <c:pt idx="137">
                  <c:v>-6.9349999999999997E-6</c:v>
                </c:pt>
                <c:pt idx="138">
                  <c:v>-6.9299999999999997E-6</c:v>
                </c:pt>
                <c:pt idx="139">
                  <c:v>-6.9249999999999998E-6</c:v>
                </c:pt>
                <c:pt idx="140">
                  <c:v>-6.9199999999999998E-6</c:v>
                </c:pt>
                <c:pt idx="141">
                  <c:v>-6.9149999999999999E-6</c:v>
                </c:pt>
                <c:pt idx="142">
                  <c:v>-6.9099999999999999E-6</c:v>
                </c:pt>
                <c:pt idx="143">
                  <c:v>-6.905E-6</c:v>
                </c:pt>
                <c:pt idx="144">
                  <c:v>-6.9E-6</c:v>
                </c:pt>
                <c:pt idx="145">
                  <c:v>-6.8950000000000001E-6</c:v>
                </c:pt>
                <c:pt idx="146">
                  <c:v>-6.8900000000000001E-6</c:v>
                </c:pt>
                <c:pt idx="147">
                  <c:v>-6.8850000000000001E-6</c:v>
                </c:pt>
                <c:pt idx="148">
                  <c:v>-6.8800000000000002E-6</c:v>
                </c:pt>
                <c:pt idx="149">
                  <c:v>-6.8750000000000002E-6</c:v>
                </c:pt>
                <c:pt idx="150">
                  <c:v>-6.8700000000000003E-6</c:v>
                </c:pt>
                <c:pt idx="151">
                  <c:v>-6.8650000000000003E-6</c:v>
                </c:pt>
                <c:pt idx="152">
                  <c:v>-6.8600000000000004E-6</c:v>
                </c:pt>
                <c:pt idx="153">
                  <c:v>-6.8549999999999996E-6</c:v>
                </c:pt>
                <c:pt idx="154">
                  <c:v>-6.8499999999999996E-6</c:v>
                </c:pt>
                <c:pt idx="155">
                  <c:v>-6.8449999999999997E-6</c:v>
                </c:pt>
                <c:pt idx="156">
                  <c:v>-6.8399999999999997E-6</c:v>
                </c:pt>
                <c:pt idx="157">
                  <c:v>-6.8349999999999998E-6</c:v>
                </c:pt>
                <c:pt idx="158">
                  <c:v>-6.8299999999999998E-6</c:v>
                </c:pt>
                <c:pt idx="159">
                  <c:v>-6.8249999999999999E-6</c:v>
                </c:pt>
                <c:pt idx="160">
                  <c:v>-6.8199999999999999E-6</c:v>
                </c:pt>
                <c:pt idx="161">
                  <c:v>-6.815E-6</c:v>
                </c:pt>
                <c:pt idx="162">
                  <c:v>-6.81E-6</c:v>
                </c:pt>
                <c:pt idx="163">
                  <c:v>-6.8050000000000001E-6</c:v>
                </c:pt>
                <c:pt idx="164">
                  <c:v>-6.8000000000000001E-6</c:v>
                </c:pt>
                <c:pt idx="165">
                  <c:v>-6.7950000000000002E-6</c:v>
                </c:pt>
                <c:pt idx="166">
                  <c:v>-6.7900000000000002E-6</c:v>
                </c:pt>
                <c:pt idx="167">
                  <c:v>-6.7850000000000003E-6</c:v>
                </c:pt>
                <c:pt idx="168">
                  <c:v>-6.7800000000000003E-6</c:v>
                </c:pt>
                <c:pt idx="169">
                  <c:v>-6.7750000000000004E-6</c:v>
                </c:pt>
                <c:pt idx="170">
                  <c:v>-6.7700000000000004E-6</c:v>
                </c:pt>
                <c:pt idx="171">
                  <c:v>-6.7649999999999996E-6</c:v>
                </c:pt>
                <c:pt idx="172">
                  <c:v>-6.7599999999999997E-6</c:v>
                </c:pt>
                <c:pt idx="173">
                  <c:v>-6.7549999999999997E-6</c:v>
                </c:pt>
                <c:pt idx="174">
                  <c:v>-6.7499999999999997E-6</c:v>
                </c:pt>
                <c:pt idx="175">
                  <c:v>-6.7449999999999998E-6</c:v>
                </c:pt>
                <c:pt idx="176">
                  <c:v>-6.7399999999999998E-6</c:v>
                </c:pt>
                <c:pt idx="177">
                  <c:v>-6.7349999999999999E-6</c:v>
                </c:pt>
                <c:pt idx="178">
                  <c:v>-6.7299999999999999E-6</c:v>
                </c:pt>
                <c:pt idx="179">
                  <c:v>-6.725E-6</c:v>
                </c:pt>
                <c:pt idx="180">
                  <c:v>-6.72E-6</c:v>
                </c:pt>
                <c:pt idx="181">
                  <c:v>-6.7150000000000001E-6</c:v>
                </c:pt>
                <c:pt idx="182">
                  <c:v>-6.7100000000000001E-6</c:v>
                </c:pt>
                <c:pt idx="183">
                  <c:v>-6.7050000000000002E-6</c:v>
                </c:pt>
                <c:pt idx="184">
                  <c:v>-6.7000000000000002E-6</c:v>
                </c:pt>
                <c:pt idx="185">
                  <c:v>-6.6950000000000003E-6</c:v>
                </c:pt>
                <c:pt idx="186">
                  <c:v>-6.6900000000000003E-6</c:v>
                </c:pt>
                <c:pt idx="187">
                  <c:v>-6.6850000000000004E-6</c:v>
                </c:pt>
                <c:pt idx="188">
                  <c:v>-6.6800000000000004E-6</c:v>
                </c:pt>
                <c:pt idx="189">
                  <c:v>-6.6749999999999996E-6</c:v>
                </c:pt>
                <c:pt idx="190">
                  <c:v>-6.6699999999999997E-6</c:v>
                </c:pt>
                <c:pt idx="191">
                  <c:v>-6.6649999999999997E-6</c:v>
                </c:pt>
                <c:pt idx="192">
                  <c:v>-6.6599999999999998E-6</c:v>
                </c:pt>
                <c:pt idx="193">
                  <c:v>-6.6549999999999998E-6</c:v>
                </c:pt>
                <c:pt idx="194">
                  <c:v>-6.6499999999999999E-6</c:v>
                </c:pt>
                <c:pt idx="195">
                  <c:v>-6.6449999999999999E-6</c:v>
                </c:pt>
                <c:pt idx="196">
                  <c:v>-6.64E-6</c:v>
                </c:pt>
                <c:pt idx="197">
                  <c:v>-6.635E-6</c:v>
                </c:pt>
                <c:pt idx="198">
                  <c:v>-6.63E-6</c:v>
                </c:pt>
                <c:pt idx="199">
                  <c:v>-6.6250000000000001E-6</c:v>
                </c:pt>
                <c:pt idx="200">
                  <c:v>-6.6200000000000001E-6</c:v>
                </c:pt>
                <c:pt idx="201">
                  <c:v>-6.6150000000000002E-6</c:v>
                </c:pt>
                <c:pt idx="202">
                  <c:v>-6.6100000000000002E-6</c:v>
                </c:pt>
                <c:pt idx="203">
                  <c:v>-6.6050000000000003E-6</c:v>
                </c:pt>
                <c:pt idx="204">
                  <c:v>-6.6000000000000003E-6</c:v>
                </c:pt>
                <c:pt idx="205">
                  <c:v>-6.5950000000000004E-6</c:v>
                </c:pt>
                <c:pt idx="206">
                  <c:v>-6.5899999999999996E-6</c:v>
                </c:pt>
                <c:pt idx="207">
                  <c:v>-6.5849999999999996E-6</c:v>
                </c:pt>
                <c:pt idx="208">
                  <c:v>-6.5799999999999997E-6</c:v>
                </c:pt>
                <c:pt idx="209">
                  <c:v>-6.5749999999999997E-6</c:v>
                </c:pt>
                <c:pt idx="210">
                  <c:v>-6.5699999999999998E-6</c:v>
                </c:pt>
                <c:pt idx="211">
                  <c:v>-6.5649999999999998E-6</c:v>
                </c:pt>
                <c:pt idx="212">
                  <c:v>-6.5599999999999999E-6</c:v>
                </c:pt>
                <c:pt idx="213">
                  <c:v>-6.5549999999999999E-6</c:v>
                </c:pt>
                <c:pt idx="214">
                  <c:v>-6.55E-6</c:v>
                </c:pt>
                <c:pt idx="215">
                  <c:v>-6.545E-6</c:v>
                </c:pt>
                <c:pt idx="216">
                  <c:v>-6.5400000000000001E-6</c:v>
                </c:pt>
                <c:pt idx="217">
                  <c:v>-6.5350000000000001E-6</c:v>
                </c:pt>
                <c:pt idx="218">
                  <c:v>-6.5300000000000002E-6</c:v>
                </c:pt>
                <c:pt idx="219">
                  <c:v>-6.5250000000000002E-6</c:v>
                </c:pt>
                <c:pt idx="220">
                  <c:v>-6.5200000000000003E-6</c:v>
                </c:pt>
                <c:pt idx="221">
                  <c:v>-6.5150000000000003E-6</c:v>
                </c:pt>
                <c:pt idx="222">
                  <c:v>-6.5100000000000004E-6</c:v>
                </c:pt>
                <c:pt idx="223">
                  <c:v>-6.5050000000000004E-6</c:v>
                </c:pt>
                <c:pt idx="224">
                  <c:v>-6.4999999999999996E-6</c:v>
                </c:pt>
                <c:pt idx="225">
                  <c:v>-6.4949999999999996E-6</c:v>
                </c:pt>
                <c:pt idx="226">
                  <c:v>-6.4899999999999997E-6</c:v>
                </c:pt>
                <c:pt idx="227">
                  <c:v>-6.4849999999999997E-6</c:v>
                </c:pt>
                <c:pt idx="228">
                  <c:v>-6.4799999999999998E-6</c:v>
                </c:pt>
                <c:pt idx="229">
                  <c:v>-6.4749999999999998E-6</c:v>
                </c:pt>
                <c:pt idx="230">
                  <c:v>-6.4699999999999999E-6</c:v>
                </c:pt>
                <c:pt idx="231">
                  <c:v>-6.4649999999999999E-6</c:v>
                </c:pt>
                <c:pt idx="232">
                  <c:v>-6.46E-6</c:v>
                </c:pt>
                <c:pt idx="233">
                  <c:v>-6.455E-6</c:v>
                </c:pt>
                <c:pt idx="234">
                  <c:v>-6.4500000000000001E-6</c:v>
                </c:pt>
                <c:pt idx="235">
                  <c:v>-6.4450000000000001E-6</c:v>
                </c:pt>
                <c:pt idx="236">
                  <c:v>-6.4400000000000002E-6</c:v>
                </c:pt>
                <c:pt idx="237">
                  <c:v>-6.4350000000000002E-6</c:v>
                </c:pt>
                <c:pt idx="238">
                  <c:v>-6.4300000000000003E-6</c:v>
                </c:pt>
                <c:pt idx="239">
                  <c:v>-6.4250000000000003E-6</c:v>
                </c:pt>
                <c:pt idx="240">
                  <c:v>-6.4200000000000004E-6</c:v>
                </c:pt>
                <c:pt idx="241">
                  <c:v>-6.4150000000000004E-6</c:v>
                </c:pt>
                <c:pt idx="242">
                  <c:v>-6.4099999999999996E-6</c:v>
                </c:pt>
                <c:pt idx="243">
                  <c:v>-6.4049999999999997E-6</c:v>
                </c:pt>
                <c:pt idx="244">
                  <c:v>-6.3999999999999997E-6</c:v>
                </c:pt>
                <c:pt idx="245">
                  <c:v>-6.3949999999999998E-6</c:v>
                </c:pt>
                <c:pt idx="246">
                  <c:v>-6.3899999999999998E-6</c:v>
                </c:pt>
                <c:pt idx="247">
                  <c:v>-6.3849999999999999E-6</c:v>
                </c:pt>
                <c:pt idx="248">
                  <c:v>-6.3799999999999999E-6</c:v>
                </c:pt>
                <c:pt idx="249">
                  <c:v>-6.3749999999999999E-6</c:v>
                </c:pt>
                <c:pt idx="250">
                  <c:v>-6.37E-6</c:v>
                </c:pt>
                <c:pt idx="251">
                  <c:v>-6.365E-6</c:v>
                </c:pt>
                <c:pt idx="252">
                  <c:v>-6.3600000000000001E-6</c:v>
                </c:pt>
                <c:pt idx="253">
                  <c:v>-6.3550000000000001E-6</c:v>
                </c:pt>
                <c:pt idx="254">
                  <c:v>-6.3500000000000002E-6</c:v>
                </c:pt>
                <c:pt idx="255">
                  <c:v>-6.3450000000000002E-6</c:v>
                </c:pt>
                <c:pt idx="256">
                  <c:v>-6.3400000000000003E-6</c:v>
                </c:pt>
                <c:pt idx="257">
                  <c:v>-6.3350000000000003E-6</c:v>
                </c:pt>
                <c:pt idx="258">
                  <c:v>-6.3300000000000004E-6</c:v>
                </c:pt>
                <c:pt idx="259">
                  <c:v>-6.3249999999999996E-6</c:v>
                </c:pt>
                <c:pt idx="260">
                  <c:v>-6.3199999999999996E-6</c:v>
                </c:pt>
                <c:pt idx="261">
                  <c:v>-6.3149999999999997E-6</c:v>
                </c:pt>
                <c:pt idx="262">
                  <c:v>-6.3099999999999997E-6</c:v>
                </c:pt>
                <c:pt idx="263">
                  <c:v>-6.3049999999999998E-6</c:v>
                </c:pt>
                <c:pt idx="264">
                  <c:v>-6.2999999999999998E-6</c:v>
                </c:pt>
                <c:pt idx="265">
                  <c:v>-6.2949999999999999E-6</c:v>
                </c:pt>
                <c:pt idx="266">
                  <c:v>-6.2899999999999999E-6</c:v>
                </c:pt>
                <c:pt idx="267">
                  <c:v>-6.285E-6</c:v>
                </c:pt>
                <c:pt idx="268">
                  <c:v>-6.28E-6</c:v>
                </c:pt>
                <c:pt idx="269">
                  <c:v>-6.2750000000000001E-6</c:v>
                </c:pt>
                <c:pt idx="270">
                  <c:v>-6.2700000000000001E-6</c:v>
                </c:pt>
                <c:pt idx="271">
                  <c:v>-6.2650000000000002E-6</c:v>
                </c:pt>
                <c:pt idx="272">
                  <c:v>-6.2600000000000002E-6</c:v>
                </c:pt>
                <c:pt idx="273">
                  <c:v>-6.2550000000000003E-6</c:v>
                </c:pt>
                <c:pt idx="274">
                  <c:v>-6.2500000000000003E-6</c:v>
                </c:pt>
                <c:pt idx="275">
                  <c:v>-6.2450000000000003E-6</c:v>
                </c:pt>
                <c:pt idx="276">
                  <c:v>-6.2400000000000004E-6</c:v>
                </c:pt>
                <c:pt idx="277">
                  <c:v>-6.2349999999999996E-6</c:v>
                </c:pt>
                <c:pt idx="278">
                  <c:v>-6.2299999999999996E-6</c:v>
                </c:pt>
                <c:pt idx="279">
                  <c:v>-6.2249999999999997E-6</c:v>
                </c:pt>
                <c:pt idx="280">
                  <c:v>-6.2199999999999997E-6</c:v>
                </c:pt>
                <c:pt idx="281">
                  <c:v>-6.2149999999999998E-6</c:v>
                </c:pt>
                <c:pt idx="282">
                  <c:v>-6.2099999999999998E-6</c:v>
                </c:pt>
                <c:pt idx="283">
                  <c:v>-6.2049999999999999E-6</c:v>
                </c:pt>
                <c:pt idx="284">
                  <c:v>-6.1999999999999999E-6</c:v>
                </c:pt>
                <c:pt idx="285">
                  <c:v>-6.195E-6</c:v>
                </c:pt>
                <c:pt idx="286">
                  <c:v>-6.19E-6</c:v>
                </c:pt>
                <c:pt idx="287">
                  <c:v>-6.1850000000000001E-6</c:v>
                </c:pt>
                <c:pt idx="288">
                  <c:v>-6.1800000000000001E-6</c:v>
                </c:pt>
                <c:pt idx="289">
                  <c:v>-6.1750000000000002E-6</c:v>
                </c:pt>
                <c:pt idx="290">
                  <c:v>-6.1700000000000002E-6</c:v>
                </c:pt>
                <c:pt idx="291">
                  <c:v>-6.1650000000000003E-6</c:v>
                </c:pt>
                <c:pt idx="292">
                  <c:v>-6.1600000000000003E-6</c:v>
                </c:pt>
                <c:pt idx="293">
                  <c:v>-6.1550000000000004E-6</c:v>
                </c:pt>
                <c:pt idx="294">
                  <c:v>-6.1500000000000004E-6</c:v>
                </c:pt>
                <c:pt idx="295">
                  <c:v>-6.1449999999999996E-6</c:v>
                </c:pt>
                <c:pt idx="296">
                  <c:v>-6.1399999999999997E-6</c:v>
                </c:pt>
                <c:pt idx="297">
                  <c:v>-6.1349999999999997E-6</c:v>
                </c:pt>
                <c:pt idx="298">
                  <c:v>-6.1299999999999998E-6</c:v>
                </c:pt>
                <c:pt idx="299">
                  <c:v>-6.1249999999999998E-6</c:v>
                </c:pt>
                <c:pt idx="300">
                  <c:v>-6.1199999999999999E-6</c:v>
                </c:pt>
                <c:pt idx="301">
                  <c:v>-6.1149999999999999E-6</c:v>
                </c:pt>
                <c:pt idx="302">
                  <c:v>-6.1099999999999999E-6</c:v>
                </c:pt>
                <c:pt idx="303">
                  <c:v>-6.105E-6</c:v>
                </c:pt>
                <c:pt idx="304">
                  <c:v>-6.1E-6</c:v>
                </c:pt>
                <c:pt idx="305">
                  <c:v>-6.0950000000000001E-6</c:v>
                </c:pt>
                <c:pt idx="306">
                  <c:v>-6.0900000000000001E-6</c:v>
                </c:pt>
                <c:pt idx="307">
                  <c:v>-6.0850000000000002E-6</c:v>
                </c:pt>
                <c:pt idx="308">
                  <c:v>-6.0800000000000002E-6</c:v>
                </c:pt>
                <c:pt idx="309">
                  <c:v>-6.0750000000000003E-6</c:v>
                </c:pt>
                <c:pt idx="310">
                  <c:v>-6.0700000000000003E-6</c:v>
                </c:pt>
                <c:pt idx="311">
                  <c:v>-6.0650000000000004E-6</c:v>
                </c:pt>
                <c:pt idx="312">
                  <c:v>-6.0599999999999996E-6</c:v>
                </c:pt>
                <c:pt idx="313">
                  <c:v>-6.0549999999999996E-6</c:v>
                </c:pt>
                <c:pt idx="314">
                  <c:v>-6.0499999999999997E-6</c:v>
                </c:pt>
                <c:pt idx="315">
                  <c:v>-6.0449999999999997E-6</c:v>
                </c:pt>
                <c:pt idx="316">
                  <c:v>-6.0399999999999998E-6</c:v>
                </c:pt>
                <c:pt idx="317">
                  <c:v>-6.0349999999999998E-6</c:v>
                </c:pt>
                <c:pt idx="318">
                  <c:v>-6.0299999999999999E-6</c:v>
                </c:pt>
                <c:pt idx="319">
                  <c:v>-6.0249999999999999E-6</c:v>
                </c:pt>
                <c:pt idx="320">
                  <c:v>-6.02E-6</c:v>
                </c:pt>
                <c:pt idx="321">
                  <c:v>-6.015E-6</c:v>
                </c:pt>
                <c:pt idx="322">
                  <c:v>-6.0100000000000001E-6</c:v>
                </c:pt>
                <c:pt idx="323">
                  <c:v>-6.0050000000000001E-6</c:v>
                </c:pt>
                <c:pt idx="324">
                  <c:v>-6.0000000000000002E-6</c:v>
                </c:pt>
                <c:pt idx="325">
                  <c:v>-5.9950000000000002E-6</c:v>
                </c:pt>
                <c:pt idx="326">
                  <c:v>-5.9900000000000002E-6</c:v>
                </c:pt>
                <c:pt idx="327">
                  <c:v>-5.9850000000000003E-6</c:v>
                </c:pt>
                <c:pt idx="328">
                  <c:v>-5.9800000000000003E-6</c:v>
                </c:pt>
                <c:pt idx="329">
                  <c:v>-5.9750000000000004E-6</c:v>
                </c:pt>
                <c:pt idx="330">
                  <c:v>-5.9699999999999996E-6</c:v>
                </c:pt>
                <c:pt idx="331">
                  <c:v>-5.9649999999999996E-6</c:v>
                </c:pt>
                <c:pt idx="332">
                  <c:v>-5.9599999999999997E-6</c:v>
                </c:pt>
                <c:pt idx="333">
                  <c:v>-5.9549999999999997E-6</c:v>
                </c:pt>
                <c:pt idx="334">
                  <c:v>-5.9499999999999998E-6</c:v>
                </c:pt>
                <c:pt idx="335">
                  <c:v>-5.9449999999999998E-6</c:v>
                </c:pt>
                <c:pt idx="336">
                  <c:v>-5.9399999999999999E-6</c:v>
                </c:pt>
                <c:pt idx="337">
                  <c:v>-5.9349999999999999E-6</c:v>
                </c:pt>
                <c:pt idx="338">
                  <c:v>-5.93E-6</c:v>
                </c:pt>
                <c:pt idx="339">
                  <c:v>-5.925E-6</c:v>
                </c:pt>
                <c:pt idx="340">
                  <c:v>-5.9200000000000001E-6</c:v>
                </c:pt>
                <c:pt idx="341">
                  <c:v>-5.9150000000000001E-6</c:v>
                </c:pt>
                <c:pt idx="342">
                  <c:v>-5.9100000000000002E-6</c:v>
                </c:pt>
                <c:pt idx="343">
                  <c:v>-5.9050000000000002E-6</c:v>
                </c:pt>
                <c:pt idx="344">
                  <c:v>-5.9000000000000003E-6</c:v>
                </c:pt>
                <c:pt idx="345">
                  <c:v>-5.8950000000000003E-6</c:v>
                </c:pt>
                <c:pt idx="346">
                  <c:v>-5.8900000000000004E-6</c:v>
                </c:pt>
                <c:pt idx="347">
                  <c:v>-5.8850000000000004E-6</c:v>
                </c:pt>
                <c:pt idx="348">
                  <c:v>-5.8799999999999996E-6</c:v>
                </c:pt>
                <c:pt idx="349">
                  <c:v>-5.8749999999999997E-6</c:v>
                </c:pt>
                <c:pt idx="350">
                  <c:v>-5.8699999999999997E-6</c:v>
                </c:pt>
                <c:pt idx="351">
                  <c:v>-5.8649999999999998E-6</c:v>
                </c:pt>
                <c:pt idx="352">
                  <c:v>-5.8599999999999998E-6</c:v>
                </c:pt>
                <c:pt idx="353">
                  <c:v>-5.8549999999999998E-6</c:v>
                </c:pt>
                <c:pt idx="354">
                  <c:v>-5.8499999999999999E-6</c:v>
                </c:pt>
                <c:pt idx="355">
                  <c:v>-5.8449999999999999E-6</c:v>
                </c:pt>
                <c:pt idx="356">
                  <c:v>-5.84E-6</c:v>
                </c:pt>
                <c:pt idx="357">
                  <c:v>-5.835E-6</c:v>
                </c:pt>
                <c:pt idx="358">
                  <c:v>-5.8300000000000001E-6</c:v>
                </c:pt>
                <c:pt idx="359">
                  <c:v>-5.8250000000000001E-6</c:v>
                </c:pt>
                <c:pt idx="360">
                  <c:v>-5.8200000000000002E-6</c:v>
                </c:pt>
                <c:pt idx="361">
                  <c:v>-5.8150000000000002E-6</c:v>
                </c:pt>
                <c:pt idx="362">
                  <c:v>-5.8100000000000003E-6</c:v>
                </c:pt>
                <c:pt idx="363">
                  <c:v>-5.8050000000000003E-6</c:v>
                </c:pt>
                <c:pt idx="364">
                  <c:v>-5.8000000000000004E-6</c:v>
                </c:pt>
                <c:pt idx="365">
                  <c:v>-5.7950000000000004E-6</c:v>
                </c:pt>
                <c:pt idx="366">
                  <c:v>-5.7899999999999996E-6</c:v>
                </c:pt>
                <c:pt idx="367">
                  <c:v>-5.7849999999999997E-6</c:v>
                </c:pt>
                <c:pt idx="368">
                  <c:v>-5.7799999999999997E-6</c:v>
                </c:pt>
                <c:pt idx="369">
                  <c:v>-5.7749999999999998E-6</c:v>
                </c:pt>
                <c:pt idx="370">
                  <c:v>-5.7699999999999998E-6</c:v>
                </c:pt>
                <c:pt idx="371">
                  <c:v>-5.7649999999999999E-6</c:v>
                </c:pt>
                <c:pt idx="372">
                  <c:v>-5.7599999999999999E-6</c:v>
                </c:pt>
                <c:pt idx="373">
                  <c:v>-5.755E-6</c:v>
                </c:pt>
                <c:pt idx="374">
                  <c:v>-5.75E-6</c:v>
                </c:pt>
                <c:pt idx="375">
                  <c:v>-5.7450000000000001E-6</c:v>
                </c:pt>
                <c:pt idx="376">
                  <c:v>-5.7400000000000001E-6</c:v>
                </c:pt>
                <c:pt idx="377">
                  <c:v>-5.7350000000000001E-6</c:v>
                </c:pt>
                <c:pt idx="378">
                  <c:v>-5.7300000000000002E-6</c:v>
                </c:pt>
                <c:pt idx="379">
                  <c:v>-5.7250000000000002E-6</c:v>
                </c:pt>
                <c:pt idx="380">
                  <c:v>-5.7200000000000003E-6</c:v>
                </c:pt>
                <c:pt idx="381">
                  <c:v>-5.7150000000000003E-6</c:v>
                </c:pt>
                <c:pt idx="382">
                  <c:v>-5.7100000000000004E-6</c:v>
                </c:pt>
                <c:pt idx="383">
                  <c:v>-5.7049999999999996E-6</c:v>
                </c:pt>
                <c:pt idx="384">
                  <c:v>-5.6999999999999996E-6</c:v>
                </c:pt>
                <c:pt idx="385">
                  <c:v>-5.6949999999999997E-6</c:v>
                </c:pt>
                <c:pt idx="386">
                  <c:v>-5.6899999999999997E-6</c:v>
                </c:pt>
                <c:pt idx="387">
                  <c:v>-5.6849999999999998E-6</c:v>
                </c:pt>
                <c:pt idx="388">
                  <c:v>-5.6799999999999998E-6</c:v>
                </c:pt>
                <c:pt idx="389">
                  <c:v>-5.6749999999999999E-6</c:v>
                </c:pt>
                <c:pt idx="390">
                  <c:v>-5.6699999999999999E-6</c:v>
                </c:pt>
                <c:pt idx="391">
                  <c:v>-5.665E-6</c:v>
                </c:pt>
                <c:pt idx="392">
                  <c:v>-5.66E-6</c:v>
                </c:pt>
                <c:pt idx="393">
                  <c:v>-5.6550000000000001E-6</c:v>
                </c:pt>
                <c:pt idx="394">
                  <c:v>-5.6500000000000001E-6</c:v>
                </c:pt>
                <c:pt idx="395">
                  <c:v>-5.6450000000000002E-6</c:v>
                </c:pt>
                <c:pt idx="396">
                  <c:v>-5.6400000000000002E-6</c:v>
                </c:pt>
                <c:pt idx="397">
                  <c:v>-5.6350000000000003E-6</c:v>
                </c:pt>
                <c:pt idx="398">
                  <c:v>-5.6300000000000003E-6</c:v>
                </c:pt>
                <c:pt idx="399">
                  <c:v>-5.6250000000000004E-6</c:v>
                </c:pt>
                <c:pt idx="400">
                  <c:v>-5.6200000000000004E-6</c:v>
                </c:pt>
                <c:pt idx="401">
                  <c:v>-5.6149999999999996E-6</c:v>
                </c:pt>
                <c:pt idx="402">
                  <c:v>-5.6099999999999997E-6</c:v>
                </c:pt>
                <c:pt idx="403">
                  <c:v>-5.6049999999999997E-6</c:v>
                </c:pt>
                <c:pt idx="404">
                  <c:v>-5.5999999999999997E-6</c:v>
                </c:pt>
                <c:pt idx="405">
                  <c:v>-5.5949999999999998E-6</c:v>
                </c:pt>
                <c:pt idx="406">
                  <c:v>-5.5899999999999998E-6</c:v>
                </c:pt>
                <c:pt idx="407">
                  <c:v>-5.5849999999999999E-6</c:v>
                </c:pt>
                <c:pt idx="408">
                  <c:v>-5.5799999999999999E-6</c:v>
                </c:pt>
                <c:pt idx="409">
                  <c:v>-5.575E-6</c:v>
                </c:pt>
                <c:pt idx="410">
                  <c:v>-5.57E-6</c:v>
                </c:pt>
                <c:pt idx="411">
                  <c:v>-5.5650000000000001E-6</c:v>
                </c:pt>
                <c:pt idx="412">
                  <c:v>-5.5600000000000001E-6</c:v>
                </c:pt>
                <c:pt idx="413">
                  <c:v>-5.5550000000000002E-6</c:v>
                </c:pt>
                <c:pt idx="414">
                  <c:v>-5.5500000000000002E-6</c:v>
                </c:pt>
                <c:pt idx="415">
                  <c:v>-5.5450000000000003E-6</c:v>
                </c:pt>
                <c:pt idx="416">
                  <c:v>-5.5400000000000003E-6</c:v>
                </c:pt>
                <c:pt idx="417">
                  <c:v>-5.5350000000000004E-6</c:v>
                </c:pt>
                <c:pt idx="418">
                  <c:v>-5.5300000000000004E-6</c:v>
                </c:pt>
                <c:pt idx="419">
                  <c:v>-5.5249999999999996E-6</c:v>
                </c:pt>
                <c:pt idx="420">
                  <c:v>-5.5199999999999997E-6</c:v>
                </c:pt>
                <c:pt idx="421">
                  <c:v>-5.5149999999999997E-6</c:v>
                </c:pt>
                <c:pt idx="422">
                  <c:v>-5.5099999999999998E-6</c:v>
                </c:pt>
                <c:pt idx="423">
                  <c:v>-5.5049999999999998E-6</c:v>
                </c:pt>
                <c:pt idx="424">
                  <c:v>-5.4999999999999999E-6</c:v>
                </c:pt>
                <c:pt idx="425">
                  <c:v>-5.4949999999999999E-6</c:v>
                </c:pt>
                <c:pt idx="426">
                  <c:v>-5.49E-6</c:v>
                </c:pt>
                <c:pt idx="427">
                  <c:v>-5.485E-6</c:v>
                </c:pt>
                <c:pt idx="428">
                  <c:v>-5.48E-6</c:v>
                </c:pt>
                <c:pt idx="429">
                  <c:v>-5.4750000000000001E-6</c:v>
                </c:pt>
                <c:pt idx="430">
                  <c:v>-5.4700000000000001E-6</c:v>
                </c:pt>
                <c:pt idx="431">
                  <c:v>-5.4650000000000002E-6</c:v>
                </c:pt>
                <c:pt idx="432">
                  <c:v>-5.4600000000000002E-6</c:v>
                </c:pt>
                <c:pt idx="433">
                  <c:v>-5.4550000000000003E-6</c:v>
                </c:pt>
                <c:pt idx="434">
                  <c:v>-5.4500000000000003E-6</c:v>
                </c:pt>
                <c:pt idx="435">
                  <c:v>-5.4450000000000004E-6</c:v>
                </c:pt>
                <c:pt idx="436">
                  <c:v>-5.4399999999999996E-6</c:v>
                </c:pt>
                <c:pt idx="437">
                  <c:v>-5.4349999999999996E-6</c:v>
                </c:pt>
                <c:pt idx="438">
                  <c:v>-5.4299999999999997E-6</c:v>
                </c:pt>
                <c:pt idx="439">
                  <c:v>-5.4249999999999997E-6</c:v>
                </c:pt>
                <c:pt idx="440">
                  <c:v>-5.4199999999999998E-6</c:v>
                </c:pt>
                <c:pt idx="441">
                  <c:v>-5.4149999999999998E-6</c:v>
                </c:pt>
                <c:pt idx="442">
                  <c:v>-5.4099999999999999E-6</c:v>
                </c:pt>
                <c:pt idx="443">
                  <c:v>-5.4049999999999999E-6</c:v>
                </c:pt>
                <c:pt idx="444">
                  <c:v>-5.4E-6</c:v>
                </c:pt>
                <c:pt idx="445">
                  <c:v>-5.395E-6</c:v>
                </c:pt>
                <c:pt idx="446">
                  <c:v>-5.3900000000000001E-6</c:v>
                </c:pt>
                <c:pt idx="447">
                  <c:v>-5.3850000000000001E-6</c:v>
                </c:pt>
                <c:pt idx="448">
                  <c:v>-5.3800000000000002E-6</c:v>
                </c:pt>
                <c:pt idx="449">
                  <c:v>-5.3750000000000002E-6</c:v>
                </c:pt>
                <c:pt idx="450">
                  <c:v>-5.3700000000000003E-6</c:v>
                </c:pt>
                <c:pt idx="451">
                  <c:v>-5.3650000000000003E-6</c:v>
                </c:pt>
                <c:pt idx="452">
                  <c:v>-5.3600000000000004E-6</c:v>
                </c:pt>
                <c:pt idx="453">
                  <c:v>-5.3550000000000004E-6</c:v>
                </c:pt>
                <c:pt idx="454">
                  <c:v>-5.3499999999999996E-6</c:v>
                </c:pt>
                <c:pt idx="455">
                  <c:v>-5.3449999999999996E-6</c:v>
                </c:pt>
                <c:pt idx="456">
                  <c:v>-5.3399999999999997E-6</c:v>
                </c:pt>
                <c:pt idx="457">
                  <c:v>-5.3349999999999997E-6</c:v>
                </c:pt>
                <c:pt idx="458">
                  <c:v>-5.3299999999999998E-6</c:v>
                </c:pt>
                <c:pt idx="459">
                  <c:v>-5.3249999999999998E-6</c:v>
                </c:pt>
                <c:pt idx="460">
                  <c:v>-5.3199999999999999E-6</c:v>
                </c:pt>
                <c:pt idx="461">
                  <c:v>-5.3149999999999999E-6</c:v>
                </c:pt>
                <c:pt idx="462">
                  <c:v>-5.31E-6</c:v>
                </c:pt>
                <c:pt idx="463">
                  <c:v>-5.305E-6</c:v>
                </c:pt>
                <c:pt idx="464">
                  <c:v>-5.3000000000000001E-6</c:v>
                </c:pt>
                <c:pt idx="465">
                  <c:v>-5.2950000000000001E-6</c:v>
                </c:pt>
                <c:pt idx="466">
                  <c:v>-5.2900000000000002E-6</c:v>
                </c:pt>
                <c:pt idx="467">
                  <c:v>-5.2850000000000002E-6</c:v>
                </c:pt>
                <c:pt idx="468">
                  <c:v>-5.2800000000000003E-6</c:v>
                </c:pt>
                <c:pt idx="469">
                  <c:v>-5.2750000000000003E-6</c:v>
                </c:pt>
                <c:pt idx="470">
                  <c:v>-5.2700000000000004E-6</c:v>
                </c:pt>
                <c:pt idx="471">
                  <c:v>-5.2650000000000004E-6</c:v>
                </c:pt>
                <c:pt idx="472">
                  <c:v>-5.2599999999999996E-6</c:v>
                </c:pt>
                <c:pt idx="473">
                  <c:v>-5.2549999999999997E-6</c:v>
                </c:pt>
                <c:pt idx="474">
                  <c:v>-5.2499999999999997E-6</c:v>
                </c:pt>
                <c:pt idx="475">
                  <c:v>-5.2449999999999998E-6</c:v>
                </c:pt>
                <c:pt idx="476">
                  <c:v>-5.2399999999999998E-6</c:v>
                </c:pt>
                <c:pt idx="477">
                  <c:v>-5.2349999999999999E-6</c:v>
                </c:pt>
                <c:pt idx="478">
                  <c:v>-5.2299999999999999E-6</c:v>
                </c:pt>
                <c:pt idx="479">
                  <c:v>-5.2249999999999999E-6</c:v>
                </c:pt>
                <c:pt idx="480">
                  <c:v>-5.22E-6</c:v>
                </c:pt>
                <c:pt idx="481">
                  <c:v>-5.215E-6</c:v>
                </c:pt>
                <c:pt idx="482">
                  <c:v>-5.2100000000000001E-6</c:v>
                </c:pt>
                <c:pt idx="483">
                  <c:v>-5.2050000000000001E-6</c:v>
                </c:pt>
                <c:pt idx="484">
                  <c:v>-5.2000000000000002E-6</c:v>
                </c:pt>
                <c:pt idx="485">
                  <c:v>-5.1950000000000002E-6</c:v>
                </c:pt>
                <c:pt idx="486">
                  <c:v>-5.1900000000000003E-6</c:v>
                </c:pt>
                <c:pt idx="487">
                  <c:v>-5.1850000000000003E-6</c:v>
                </c:pt>
                <c:pt idx="488">
                  <c:v>-5.1800000000000004E-6</c:v>
                </c:pt>
                <c:pt idx="489">
                  <c:v>-5.1749999999999996E-6</c:v>
                </c:pt>
                <c:pt idx="490">
                  <c:v>-5.1699999999999996E-6</c:v>
                </c:pt>
                <c:pt idx="491">
                  <c:v>-5.1649999999999997E-6</c:v>
                </c:pt>
                <c:pt idx="492">
                  <c:v>-5.1599999999999997E-6</c:v>
                </c:pt>
                <c:pt idx="493">
                  <c:v>-5.1549999999999998E-6</c:v>
                </c:pt>
                <c:pt idx="494">
                  <c:v>-5.1499999999999998E-6</c:v>
                </c:pt>
                <c:pt idx="495">
                  <c:v>-5.1449999999999999E-6</c:v>
                </c:pt>
                <c:pt idx="496">
                  <c:v>-5.1399999999999999E-6</c:v>
                </c:pt>
                <c:pt idx="497">
                  <c:v>-5.135E-6</c:v>
                </c:pt>
                <c:pt idx="498">
                  <c:v>-5.13E-6</c:v>
                </c:pt>
                <c:pt idx="499">
                  <c:v>-5.1250000000000001E-6</c:v>
                </c:pt>
                <c:pt idx="500">
                  <c:v>-5.1200000000000001E-6</c:v>
                </c:pt>
                <c:pt idx="501">
                  <c:v>-5.1150000000000002E-6</c:v>
                </c:pt>
                <c:pt idx="502">
                  <c:v>-5.1100000000000002E-6</c:v>
                </c:pt>
                <c:pt idx="503">
                  <c:v>-5.1050000000000003E-6</c:v>
                </c:pt>
                <c:pt idx="504">
                  <c:v>-5.1000000000000003E-6</c:v>
                </c:pt>
                <c:pt idx="505">
                  <c:v>-5.0950000000000003E-6</c:v>
                </c:pt>
                <c:pt idx="506">
                  <c:v>-5.0900000000000004E-6</c:v>
                </c:pt>
                <c:pt idx="507">
                  <c:v>-5.0849999999999996E-6</c:v>
                </c:pt>
                <c:pt idx="508">
                  <c:v>-5.0799999999999996E-6</c:v>
                </c:pt>
                <c:pt idx="509">
                  <c:v>-5.0749999999999997E-6</c:v>
                </c:pt>
                <c:pt idx="510">
                  <c:v>-5.0699999999999997E-6</c:v>
                </c:pt>
                <c:pt idx="511">
                  <c:v>-5.0649999999999998E-6</c:v>
                </c:pt>
                <c:pt idx="512">
                  <c:v>-5.0599999999999998E-6</c:v>
                </c:pt>
                <c:pt idx="513">
                  <c:v>-5.0549999999999999E-6</c:v>
                </c:pt>
                <c:pt idx="514">
                  <c:v>-5.0499999999999999E-6</c:v>
                </c:pt>
                <c:pt idx="515">
                  <c:v>-5.045E-6</c:v>
                </c:pt>
                <c:pt idx="516">
                  <c:v>-5.04E-6</c:v>
                </c:pt>
                <c:pt idx="517">
                  <c:v>-5.0350000000000001E-6</c:v>
                </c:pt>
                <c:pt idx="518">
                  <c:v>-5.0300000000000001E-6</c:v>
                </c:pt>
                <c:pt idx="519">
                  <c:v>-5.0250000000000002E-6</c:v>
                </c:pt>
                <c:pt idx="520">
                  <c:v>-5.0200000000000002E-6</c:v>
                </c:pt>
                <c:pt idx="521">
                  <c:v>-5.0150000000000003E-6</c:v>
                </c:pt>
                <c:pt idx="522">
                  <c:v>-5.0100000000000003E-6</c:v>
                </c:pt>
                <c:pt idx="523">
                  <c:v>-5.0050000000000004E-6</c:v>
                </c:pt>
                <c:pt idx="524">
                  <c:v>-5.0000000000000004E-6</c:v>
                </c:pt>
                <c:pt idx="525">
                  <c:v>-4.9949999999999996E-6</c:v>
                </c:pt>
                <c:pt idx="526">
                  <c:v>-4.9899999999999997E-6</c:v>
                </c:pt>
                <c:pt idx="527">
                  <c:v>-4.9849999999999997E-6</c:v>
                </c:pt>
                <c:pt idx="528">
                  <c:v>-4.9799999999999998E-6</c:v>
                </c:pt>
                <c:pt idx="529">
                  <c:v>-4.9749999999999998E-6</c:v>
                </c:pt>
                <c:pt idx="530">
                  <c:v>-4.9699999999999998E-6</c:v>
                </c:pt>
                <c:pt idx="531">
                  <c:v>-4.9649999999999999E-6</c:v>
                </c:pt>
                <c:pt idx="532">
                  <c:v>-4.9599999999999999E-6</c:v>
                </c:pt>
                <c:pt idx="533">
                  <c:v>-4.955E-6</c:v>
                </c:pt>
                <c:pt idx="534">
                  <c:v>-4.95E-6</c:v>
                </c:pt>
                <c:pt idx="535">
                  <c:v>-4.9450000000000001E-6</c:v>
                </c:pt>
                <c:pt idx="536">
                  <c:v>-4.9400000000000001E-6</c:v>
                </c:pt>
                <c:pt idx="537">
                  <c:v>-4.9350000000000002E-6</c:v>
                </c:pt>
                <c:pt idx="538">
                  <c:v>-4.9300000000000002E-6</c:v>
                </c:pt>
                <c:pt idx="539">
                  <c:v>-4.9250000000000003E-6</c:v>
                </c:pt>
                <c:pt idx="540">
                  <c:v>-4.9200000000000003E-6</c:v>
                </c:pt>
                <c:pt idx="541">
                  <c:v>-4.9150000000000004E-6</c:v>
                </c:pt>
                <c:pt idx="542">
                  <c:v>-4.9100000000000004E-6</c:v>
                </c:pt>
                <c:pt idx="543">
                  <c:v>-4.9049999999999996E-6</c:v>
                </c:pt>
                <c:pt idx="544">
                  <c:v>-4.8999999999999997E-6</c:v>
                </c:pt>
                <c:pt idx="545">
                  <c:v>-4.8949999999999997E-6</c:v>
                </c:pt>
                <c:pt idx="546">
                  <c:v>-4.8899999999999998E-6</c:v>
                </c:pt>
                <c:pt idx="547">
                  <c:v>-4.8849999999999998E-6</c:v>
                </c:pt>
                <c:pt idx="548">
                  <c:v>-4.8799999999999999E-6</c:v>
                </c:pt>
                <c:pt idx="549">
                  <c:v>-4.8749999999999999E-6</c:v>
                </c:pt>
                <c:pt idx="550">
                  <c:v>-4.87E-6</c:v>
                </c:pt>
                <c:pt idx="551">
                  <c:v>-4.865E-6</c:v>
                </c:pt>
                <c:pt idx="552">
                  <c:v>-4.8600000000000001E-6</c:v>
                </c:pt>
                <c:pt idx="553">
                  <c:v>-4.8550000000000001E-6</c:v>
                </c:pt>
                <c:pt idx="554">
                  <c:v>-4.8500000000000002E-6</c:v>
                </c:pt>
                <c:pt idx="555">
                  <c:v>-4.8450000000000002E-6</c:v>
                </c:pt>
                <c:pt idx="556">
                  <c:v>-4.8400000000000002E-6</c:v>
                </c:pt>
                <c:pt idx="557">
                  <c:v>-4.8350000000000003E-6</c:v>
                </c:pt>
                <c:pt idx="558">
                  <c:v>-4.8300000000000003E-6</c:v>
                </c:pt>
                <c:pt idx="559">
                  <c:v>-4.8250000000000004E-6</c:v>
                </c:pt>
                <c:pt idx="560">
                  <c:v>-4.8199999999999996E-6</c:v>
                </c:pt>
                <c:pt idx="561">
                  <c:v>-4.8149999999999996E-6</c:v>
                </c:pt>
                <c:pt idx="562">
                  <c:v>-4.8099999999999997E-6</c:v>
                </c:pt>
                <c:pt idx="563">
                  <c:v>-4.8049999999999997E-6</c:v>
                </c:pt>
                <c:pt idx="564">
                  <c:v>-4.7999999999999998E-6</c:v>
                </c:pt>
                <c:pt idx="565">
                  <c:v>-4.7949999999999998E-6</c:v>
                </c:pt>
                <c:pt idx="566">
                  <c:v>-4.7899999999999999E-6</c:v>
                </c:pt>
                <c:pt idx="567">
                  <c:v>-4.7849999999999999E-6</c:v>
                </c:pt>
                <c:pt idx="568">
                  <c:v>-4.78E-6</c:v>
                </c:pt>
                <c:pt idx="569">
                  <c:v>-4.775E-6</c:v>
                </c:pt>
                <c:pt idx="570">
                  <c:v>-4.7700000000000001E-6</c:v>
                </c:pt>
                <c:pt idx="571">
                  <c:v>-4.7650000000000001E-6</c:v>
                </c:pt>
                <c:pt idx="572">
                  <c:v>-4.7600000000000002E-6</c:v>
                </c:pt>
                <c:pt idx="573">
                  <c:v>-4.7550000000000002E-6</c:v>
                </c:pt>
                <c:pt idx="574">
                  <c:v>-4.7500000000000003E-6</c:v>
                </c:pt>
                <c:pt idx="575">
                  <c:v>-4.7450000000000003E-6</c:v>
                </c:pt>
                <c:pt idx="576">
                  <c:v>-4.7400000000000004E-6</c:v>
                </c:pt>
                <c:pt idx="577">
                  <c:v>-4.7350000000000004E-6</c:v>
                </c:pt>
                <c:pt idx="578">
                  <c:v>-4.7299999999999996E-6</c:v>
                </c:pt>
                <c:pt idx="579">
                  <c:v>-4.7249999999999997E-6</c:v>
                </c:pt>
                <c:pt idx="580">
                  <c:v>-4.7199999999999997E-6</c:v>
                </c:pt>
                <c:pt idx="581">
                  <c:v>-4.7149999999999997E-6</c:v>
                </c:pt>
                <c:pt idx="582">
                  <c:v>-4.7099999999999998E-6</c:v>
                </c:pt>
                <c:pt idx="583">
                  <c:v>-4.7049999999999998E-6</c:v>
                </c:pt>
                <c:pt idx="584">
                  <c:v>-4.6999999999999999E-6</c:v>
                </c:pt>
                <c:pt idx="585">
                  <c:v>-4.6949999999999999E-6</c:v>
                </c:pt>
                <c:pt idx="586">
                  <c:v>-4.69E-6</c:v>
                </c:pt>
                <c:pt idx="587">
                  <c:v>-4.685E-6</c:v>
                </c:pt>
                <c:pt idx="588">
                  <c:v>-4.6800000000000001E-6</c:v>
                </c:pt>
                <c:pt idx="589">
                  <c:v>-4.6750000000000001E-6</c:v>
                </c:pt>
                <c:pt idx="590">
                  <c:v>-4.6700000000000002E-6</c:v>
                </c:pt>
                <c:pt idx="591">
                  <c:v>-4.6650000000000002E-6</c:v>
                </c:pt>
                <c:pt idx="592">
                  <c:v>-4.6600000000000003E-6</c:v>
                </c:pt>
                <c:pt idx="593">
                  <c:v>-4.6550000000000003E-6</c:v>
                </c:pt>
                <c:pt idx="594">
                  <c:v>-4.6500000000000004E-6</c:v>
                </c:pt>
                <c:pt idx="595">
                  <c:v>-4.6450000000000004E-6</c:v>
                </c:pt>
                <c:pt idx="596">
                  <c:v>-4.6399999999999996E-6</c:v>
                </c:pt>
                <c:pt idx="597">
                  <c:v>-4.6349999999999997E-6</c:v>
                </c:pt>
                <c:pt idx="598">
                  <c:v>-4.6299999999999997E-6</c:v>
                </c:pt>
                <c:pt idx="599">
                  <c:v>-4.6249999999999998E-6</c:v>
                </c:pt>
                <c:pt idx="600">
                  <c:v>-4.6199999999999998E-6</c:v>
                </c:pt>
                <c:pt idx="601">
                  <c:v>-4.6149999999999999E-6</c:v>
                </c:pt>
                <c:pt idx="602">
                  <c:v>-4.6099999999999999E-6</c:v>
                </c:pt>
                <c:pt idx="603">
                  <c:v>-4.605E-6</c:v>
                </c:pt>
                <c:pt idx="604">
                  <c:v>-4.6E-6</c:v>
                </c:pt>
                <c:pt idx="605">
                  <c:v>-4.5950000000000001E-6</c:v>
                </c:pt>
                <c:pt idx="606">
                  <c:v>-4.5900000000000001E-6</c:v>
                </c:pt>
                <c:pt idx="607">
                  <c:v>-4.5850000000000001E-6</c:v>
                </c:pt>
                <c:pt idx="608">
                  <c:v>-4.5800000000000002E-6</c:v>
                </c:pt>
                <c:pt idx="609">
                  <c:v>-4.5750000000000002E-6</c:v>
                </c:pt>
                <c:pt idx="610">
                  <c:v>-4.5700000000000003E-6</c:v>
                </c:pt>
                <c:pt idx="611">
                  <c:v>-4.5650000000000003E-6</c:v>
                </c:pt>
                <c:pt idx="612">
                  <c:v>-4.5600000000000004E-6</c:v>
                </c:pt>
                <c:pt idx="613">
                  <c:v>-4.5549999999999996E-6</c:v>
                </c:pt>
                <c:pt idx="614">
                  <c:v>-4.5499999999999996E-6</c:v>
                </c:pt>
                <c:pt idx="615">
                  <c:v>-4.5449999999999997E-6</c:v>
                </c:pt>
                <c:pt idx="616">
                  <c:v>-4.5399999999999997E-6</c:v>
                </c:pt>
                <c:pt idx="617">
                  <c:v>-4.5349999999999998E-6</c:v>
                </c:pt>
                <c:pt idx="618">
                  <c:v>-4.5299999999999998E-6</c:v>
                </c:pt>
                <c:pt idx="619">
                  <c:v>-4.5249999999999999E-6</c:v>
                </c:pt>
                <c:pt idx="620">
                  <c:v>-4.5199999999999999E-6</c:v>
                </c:pt>
                <c:pt idx="621">
                  <c:v>-4.515E-6</c:v>
                </c:pt>
                <c:pt idx="622">
                  <c:v>-4.51E-6</c:v>
                </c:pt>
                <c:pt idx="623">
                  <c:v>-4.5050000000000001E-6</c:v>
                </c:pt>
                <c:pt idx="624">
                  <c:v>-4.5000000000000001E-6</c:v>
                </c:pt>
                <c:pt idx="625">
                  <c:v>-4.4950000000000002E-6</c:v>
                </c:pt>
                <c:pt idx="626">
                  <c:v>-4.4900000000000002E-6</c:v>
                </c:pt>
                <c:pt idx="627">
                  <c:v>-4.4850000000000003E-6</c:v>
                </c:pt>
                <c:pt idx="628">
                  <c:v>-4.4800000000000003E-6</c:v>
                </c:pt>
                <c:pt idx="629">
                  <c:v>-4.4750000000000004E-6</c:v>
                </c:pt>
                <c:pt idx="630">
                  <c:v>-4.4700000000000004E-6</c:v>
                </c:pt>
                <c:pt idx="631">
                  <c:v>-4.4649999999999996E-6</c:v>
                </c:pt>
                <c:pt idx="632">
                  <c:v>-4.4599999999999996E-6</c:v>
                </c:pt>
                <c:pt idx="633">
                  <c:v>-4.4549999999999997E-6</c:v>
                </c:pt>
                <c:pt idx="634">
                  <c:v>-4.4499999999999997E-6</c:v>
                </c:pt>
                <c:pt idx="635">
                  <c:v>-4.4449999999999998E-6</c:v>
                </c:pt>
                <c:pt idx="636">
                  <c:v>-4.4399999999999998E-6</c:v>
                </c:pt>
                <c:pt idx="637">
                  <c:v>-4.4349999999999999E-6</c:v>
                </c:pt>
                <c:pt idx="638">
                  <c:v>-4.4299999999999999E-6</c:v>
                </c:pt>
                <c:pt idx="639">
                  <c:v>-4.425E-6</c:v>
                </c:pt>
                <c:pt idx="640">
                  <c:v>-4.42E-6</c:v>
                </c:pt>
                <c:pt idx="641">
                  <c:v>-4.4150000000000001E-6</c:v>
                </c:pt>
                <c:pt idx="642">
                  <c:v>-4.4100000000000001E-6</c:v>
                </c:pt>
                <c:pt idx="643">
                  <c:v>-4.4050000000000002E-6</c:v>
                </c:pt>
                <c:pt idx="644">
                  <c:v>-4.4000000000000002E-6</c:v>
                </c:pt>
                <c:pt idx="645">
                  <c:v>-4.3950000000000003E-6</c:v>
                </c:pt>
                <c:pt idx="646">
                  <c:v>-4.3900000000000003E-6</c:v>
                </c:pt>
                <c:pt idx="647">
                  <c:v>-4.3850000000000004E-6</c:v>
                </c:pt>
                <c:pt idx="648">
                  <c:v>-4.3800000000000004E-6</c:v>
                </c:pt>
                <c:pt idx="649">
                  <c:v>-4.3749999999999996E-6</c:v>
                </c:pt>
                <c:pt idx="650">
                  <c:v>-4.3699999999999997E-6</c:v>
                </c:pt>
                <c:pt idx="651">
                  <c:v>-4.3649999999999997E-6</c:v>
                </c:pt>
                <c:pt idx="652">
                  <c:v>-4.3599999999999998E-6</c:v>
                </c:pt>
                <c:pt idx="653">
                  <c:v>-4.3549999999999998E-6</c:v>
                </c:pt>
                <c:pt idx="654">
                  <c:v>-4.3499999999999999E-6</c:v>
                </c:pt>
                <c:pt idx="655">
                  <c:v>-4.3449999999999999E-6</c:v>
                </c:pt>
                <c:pt idx="656">
                  <c:v>-4.34E-6</c:v>
                </c:pt>
                <c:pt idx="657">
                  <c:v>-4.335E-6</c:v>
                </c:pt>
                <c:pt idx="658">
                  <c:v>-4.33E-6</c:v>
                </c:pt>
                <c:pt idx="659">
                  <c:v>-4.3250000000000001E-6</c:v>
                </c:pt>
                <c:pt idx="660">
                  <c:v>-4.3200000000000001E-6</c:v>
                </c:pt>
                <c:pt idx="661">
                  <c:v>-4.3150000000000002E-6</c:v>
                </c:pt>
                <c:pt idx="662">
                  <c:v>-4.3100000000000002E-6</c:v>
                </c:pt>
                <c:pt idx="663">
                  <c:v>-4.3050000000000003E-6</c:v>
                </c:pt>
                <c:pt idx="664">
                  <c:v>-4.3000000000000003E-6</c:v>
                </c:pt>
                <c:pt idx="665">
                  <c:v>-4.2950000000000004E-6</c:v>
                </c:pt>
                <c:pt idx="666">
                  <c:v>-4.2899999999999996E-6</c:v>
                </c:pt>
                <c:pt idx="667">
                  <c:v>-4.2849999999999996E-6</c:v>
                </c:pt>
                <c:pt idx="668">
                  <c:v>-4.2799999999999997E-6</c:v>
                </c:pt>
                <c:pt idx="669">
                  <c:v>-4.2749999999999997E-6</c:v>
                </c:pt>
                <c:pt idx="670">
                  <c:v>-4.2699999999999998E-6</c:v>
                </c:pt>
                <c:pt idx="671">
                  <c:v>-4.2649999999999998E-6</c:v>
                </c:pt>
                <c:pt idx="672">
                  <c:v>-4.2599999999999999E-6</c:v>
                </c:pt>
                <c:pt idx="673">
                  <c:v>-4.2549999999999999E-6</c:v>
                </c:pt>
                <c:pt idx="674">
                  <c:v>-4.25E-6</c:v>
                </c:pt>
                <c:pt idx="675">
                  <c:v>-4.245E-6</c:v>
                </c:pt>
                <c:pt idx="676">
                  <c:v>-4.2400000000000001E-6</c:v>
                </c:pt>
                <c:pt idx="677">
                  <c:v>-4.2350000000000001E-6</c:v>
                </c:pt>
                <c:pt idx="678">
                  <c:v>-4.2300000000000002E-6</c:v>
                </c:pt>
                <c:pt idx="679">
                  <c:v>-4.2250000000000002E-6</c:v>
                </c:pt>
                <c:pt idx="680">
                  <c:v>-4.2200000000000003E-6</c:v>
                </c:pt>
                <c:pt idx="681">
                  <c:v>-4.2150000000000003E-6</c:v>
                </c:pt>
                <c:pt idx="682">
                  <c:v>-4.2100000000000003E-6</c:v>
                </c:pt>
                <c:pt idx="683">
                  <c:v>-4.2050000000000004E-6</c:v>
                </c:pt>
                <c:pt idx="684">
                  <c:v>-4.1999999999999996E-6</c:v>
                </c:pt>
                <c:pt idx="685">
                  <c:v>-4.1949999999999996E-6</c:v>
                </c:pt>
                <c:pt idx="686">
                  <c:v>-4.1899999999999997E-6</c:v>
                </c:pt>
                <c:pt idx="687">
                  <c:v>-4.1849999999999997E-6</c:v>
                </c:pt>
                <c:pt idx="688">
                  <c:v>-4.1799999999999998E-6</c:v>
                </c:pt>
                <c:pt idx="689">
                  <c:v>-4.1749999999999998E-6</c:v>
                </c:pt>
                <c:pt idx="690">
                  <c:v>-4.1699999999999999E-6</c:v>
                </c:pt>
                <c:pt idx="691">
                  <c:v>-4.1649999999999999E-6</c:v>
                </c:pt>
                <c:pt idx="692">
                  <c:v>-4.16E-6</c:v>
                </c:pt>
                <c:pt idx="693">
                  <c:v>-4.155E-6</c:v>
                </c:pt>
                <c:pt idx="694">
                  <c:v>-4.1500000000000001E-6</c:v>
                </c:pt>
                <c:pt idx="695">
                  <c:v>-4.1450000000000001E-6</c:v>
                </c:pt>
                <c:pt idx="696">
                  <c:v>-4.1400000000000002E-6</c:v>
                </c:pt>
                <c:pt idx="697">
                  <c:v>-4.1350000000000002E-6</c:v>
                </c:pt>
                <c:pt idx="698">
                  <c:v>-4.1300000000000003E-6</c:v>
                </c:pt>
                <c:pt idx="699">
                  <c:v>-4.1250000000000003E-6</c:v>
                </c:pt>
                <c:pt idx="700">
                  <c:v>-4.1200000000000004E-6</c:v>
                </c:pt>
                <c:pt idx="701">
                  <c:v>-4.1150000000000004E-6</c:v>
                </c:pt>
                <c:pt idx="702">
                  <c:v>-4.1099999999999996E-6</c:v>
                </c:pt>
                <c:pt idx="703">
                  <c:v>-4.1049999999999997E-6</c:v>
                </c:pt>
                <c:pt idx="704">
                  <c:v>-4.0999999999999997E-6</c:v>
                </c:pt>
                <c:pt idx="705">
                  <c:v>-4.0949999999999998E-6</c:v>
                </c:pt>
                <c:pt idx="706">
                  <c:v>-4.0899999999999998E-6</c:v>
                </c:pt>
                <c:pt idx="707">
                  <c:v>-4.0849999999999999E-6</c:v>
                </c:pt>
                <c:pt idx="708">
                  <c:v>-4.0799999999999999E-6</c:v>
                </c:pt>
                <c:pt idx="709">
                  <c:v>-4.0749999999999999E-6</c:v>
                </c:pt>
                <c:pt idx="710">
                  <c:v>-4.07E-6</c:v>
                </c:pt>
                <c:pt idx="711">
                  <c:v>-4.065E-6</c:v>
                </c:pt>
                <c:pt idx="712">
                  <c:v>-4.0600000000000001E-6</c:v>
                </c:pt>
                <c:pt idx="713">
                  <c:v>-4.0550000000000001E-6</c:v>
                </c:pt>
                <c:pt idx="714">
                  <c:v>-4.0500000000000002E-6</c:v>
                </c:pt>
                <c:pt idx="715">
                  <c:v>-4.0450000000000002E-6</c:v>
                </c:pt>
                <c:pt idx="716">
                  <c:v>-4.0400000000000003E-6</c:v>
                </c:pt>
                <c:pt idx="717">
                  <c:v>-4.0350000000000003E-6</c:v>
                </c:pt>
                <c:pt idx="718">
                  <c:v>-4.0300000000000004E-6</c:v>
                </c:pt>
                <c:pt idx="719">
                  <c:v>-4.0249999999999996E-6</c:v>
                </c:pt>
                <c:pt idx="720">
                  <c:v>-4.0199999999999996E-6</c:v>
                </c:pt>
                <c:pt idx="721">
                  <c:v>-4.0149999999999997E-6</c:v>
                </c:pt>
                <c:pt idx="722">
                  <c:v>-4.0099999999999997E-6</c:v>
                </c:pt>
                <c:pt idx="723">
                  <c:v>-4.0049999999999998E-6</c:v>
                </c:pt>
                <c:pt idx="724">
                  <c:v>-3.9999999999999998E-6</c:v>
                </c:pt>
                <c:pt idx="725">
                  <c:v>-3.9949999999999999E-6</c:v>
                </c:pt>
                <c:pt idx="726">
                  <c:v>-3.9899999999999999E-6</c:v>
                </c:pt>
                <c:pt idx="727">
                  <c:v>-3.985E-6</c:v>
                </c:pt>
                <c:pt idx="728">
                  <c:v>-3.98E-6</c:v>
                </c:pt>
                <c:pt idx="729">
                  <c:v>-3.9750000000000001E-6</c:v>
                </c:pt>
                <c:pt idx="730">
                  <c:v>-3.9700000000000001E-6</c:v>
                </c:pt>
                <c:pt idx="731">
                  <c:v>-3.9650000000000002E-6</c:v>
                </c:pt>
                <c:pt idx="732">
                  <c:v>-3.9600000000000002E-6</c:v>
                </c:pt>
                <c:pt idx="733">
                  <c:v>-3.9550000000000002E-6</c:v>
                </c:pt>
                <c:pt idx="734">
                  <c:v>-3.9500000000000003E-6</c:v>
                </c:pt>
                <c:pt idx="735">
                  <c:v>-3.9450000000000003E-6</c:v>
                </c:pt>
                <c:pt idx="736">
                  <c:v>-3.9400000000000004E-6</c:v>
                </c:pt>
                <c:pt idx="737">
                  <c:v>-3.9349999999999996E-6</c:v>
                </c:pt>
                <c:pt idx="738">
                  <c:v>-3.9299999999999996E-6</c:v>
                </c:pt>
                <c:pt idx="739">
                  <c:v>-3.9249999999999997E-6</c:v>
                </c:pt>
                <c:pt idx="740">
                  <c:v>-3.9199999999999997E-6</c:v>
                </c:pt>
                <c:pt idx="741">
                  <c:v>-3.9149999999999998E-6</c:v>
                </c:pt>
                <c:pt idx="742">
                  <c:v>-3.9099999999999998E-6</c:v>
                </c:pt>
                <c:pt idx="743">
                  <c:v>-3.9049999999999999E-6</c:v>
                </c:pt>
                <c:pt idx="744">
                  <c:v>-3.8999999999999999E-6</c:v>
                </c:pt>
                <c:pt idx="745">
                  <c:v>-3.895E-6</c:v>
                </c:pt>
                <c:pt idx="746">
                  <c:v>-3.89E-6</c:v>
                </c:pt>
                <c:pt idx="747">
                  <c:v>-3.8850000000000001E-6</c:v>
                </c:pt>
                <c:pt idx="748">
                  <c:v>-3.8800000000000001E-6</c:v>
                </c:pt>
                <c:pt idx="749">
                  <c:v>-3.8750000000000002E-6</c:v>
                </c:pt>
                <c:pt idx="750">
                  <c:v>-3.8700000000000002E-6</c:v>
                </c:pt>
                <c:pt idx="751">
                  <c:v>-3.8650000000000003E-6</c:v>
                </c:pt>
                <c:pt idx="752">
                  <c:v>-3.8600000000000003E-6</c:v>
                </c:pt>
                <c:pt idx="753">
                  <c:v>-3.8550000000000004E-6</c:v>
                </c:pt>
                <c:pt idx="754">
                  <c:v>-3.8500000000000004E-6</c:v>
                </c:pt>
                <c:pt idx="755">
                  <c:v>-3.8449999999999996E-6</c:v>
                </c:pt>
                <c:pt idx="756">
                  <c:v>-3.8399999999999997E-6</c:v>
                </c:pt>
                <c:pt idx="757">
                  <c:v>-3.8349999999999997E-6</c:v>
                </c:pt>
                <c:pt idx="758">
                  <c:v>-3.8299999999999998E-6</c:v>
                </c:pt>
                <c:pt idx="759">
                  <c:v>-3.8249999999999998E-6</c:v>
                </c:pt>
                <c:pt idx="760">
                  <c:v>-3.8199999999999998E-6</c:v>
                </c:pt>
                <c:pt idx="761">
                  <c:v>-3.8149999999999999E-6</c:v>
                </c:pt>
                <c:pt idx="762">
                  <c:v>-3.8099999999999999E-6</c:v>
                </c:pt>
                <c:pt idx="763">
                  <c:v>-3.805E-6</c:v>
                </c:pt>
                <c:pt idx="764">
                  <c:v>-3.8E-6</c:v>
                </c:pt>
                <c:pt idx="765">
                  <c:v>-3.7950000000000001E-6</c:v>
                </c:pt>
                <c:pt idx="766">
                  <c:v>-3.7900000000000001E-6</c:v>
                </c:pt>
                <c:pt idx="767">
                  <c:v>-3.7850000000000002E-6</c:v>
                </c:pt>
                <c:pt idx="768">
                  <c:v>-3.7799999999999998E-6</c:v>
                </c:pt>
                <c:pt idx="769">
                  <c:v>-3.7749999999999999E-6</c:v>
                </c:pt>
                <c:pt idx="770">
                  <c:v>-3.7699999999999999E-6</c:v>
                </c:pt>
                <c:pt idx="771">
                  <c:v>-3.765E-6</c:v>
                </c:pt>
                <c:pt idx="772">
                  <c:v>-3.76E-6</c:v>
                </c:pt>
                <c:pt idx="773">
                  <c:v>-3.755E-6</c:v>
                </c:pt>
                <c:pt idx="774">
                  <c:v>-3.7500000000000001E-6</c:v>
                </c:pt>
                <c:pt idx="775">
                  <c:v>-3.7450000000000001E-6</c:v>
                </c:pt>
                <c:pt idx="776">
                  <c:v>-3.7400000000000002E-6</c:v>
                </c:pt>
                <c:pt idx="777">
                  <c:v>-3.7349999999999998E-6</c:v>
                </c:pt>
                <c:pt idx="778">
                  <c:v>-3.7299999999999999E-6</c:v>
                </c:pt>
                <c:pt idx="779">
                  <c:v>-3.7249999999999999E-6</c:v>
                </c:pt>
                <c:pt idx="780">
                  <c:v>-3.72E-6</c:v>
                </c:pt>
                <c:pt idx="781">
                  <c:v>-3.715E-6</c:v>
                </c:pt>
                <c:pt idx="782">
                  <c:v>-3.7100000000000001E-6</c:v>
                </c:pt>
                <c:pt idx="783">
                  <c:v>-3.7050000000000001E-6</c:v>
                </c:pt>
                <c:pt idx="784">
                  <c:v>-3.7000000000000002E-6</c:v>
                </c:pt>
                <c:pt idx="785">
                  <c:v>-3.6950000000000002E-6</c:v>
                </c:pt>
                <c:pt idx="786">
                  <c:v>-3.6899999999999998E-6</c:v>
                </c:pt>
                <c:pt idx="787">
                  <c:v>-3.6849999999999999E-6</c:v>
                </c:pt>
                <c:pt idx="788">
                  <c:v>-3.6799999999999999E-6</c:v>
                </c:pt>
                <c:pt idx="789">
                  <c:v>-3.675E-6</c:v>
                </c:pt>
                <c:pt idx="790">
                  <c:v>-3.67E-6</c:v>
                </c:pt>
                <c:pt idx="791">
                  <c:v>-3.6650000000000001E-6</c:v>
                </c:pt>
                <c:pt idx="792">
                  <c:v>-3.6600000000000001E-6</c:v>
                </c:pt>
                <c:pt idx="793">
                  <c:v>-3.6550000000000002E-6</c:v>
                </c:pt>
                <c:pt idx="794">
                  <c:v>-3.6500000000000002E-6</c:v>
                </c:pt>
                <c:pt idx="795">
                  <c:v>-3.6449999999999998E-6</c:v>
                </c:pt>
                <c:pt idx="796">
                  <c:v>-3.6399999999999999E-6</c:v>
                </c:pt>
                <c:pt idx="797">
                  <c:v>-3.6349999999999999E-6</c:v>
                </c:pt>
                <c:pt idx="798">
                  <c:v>-3.63E-6</c:v>
                </c:pt>
                <c:pt idx="799">
                  <c:v>-3.625E-6</c:v>
                </c:pt>
                <c:pt idx="800">
                  <c:v>-3.6200000000000001E-6</c:v>
                </c:pt>
                <c:pt idx="801">
                  <c:v>-3.6150000000000001E-6</c:v>
                </c:pt>
                <c:pt idx="802">
                  <c:v>-3.6100000000000002E-6</c:v>
                </c:pt>
                <c:pt idx="803">
                  <c:v>-3.6049999999999998E-6</c:v>
                </c:pt>
                <c:pt idx="804">
                  <c:v>-3.5999999999999998E-6</c:v>
                </c:pt>
                <c:pt idx="805">
                  <c:v>-3.5949999999999999E-6</c:v>
                </c:pt>
                <c:pt idx="806">
                  <c:v>-3.5899999999999999E-6</c:v>
                </c:pt>
                <c:pt idx="807">
                  <c:v>-3.585E-6</c:v>
                </c:pt>
                <c:pt idx="808">
                  <c:v>-3.58E-6</c:v>
                </c:pt>
                <c:pt idx="809">
                  <c:v>-3.5750000000000001E-6</c:v>
                </c:pt>
                <c:pt idx="810">
                  <c:v>-3.5700000000000001E-6</c:v>
                </c:pt>
                <c:pt idx="811">
                  <c:v>-3.5650000000000002E-6</c:v>
                </c:pt>
                <c:pt idx="812">
                  <c:v>-3.5599999999999998E-6</c:v>
                </c:pt>
                <c:pt idx="813">
                  <c:v>-3.5549999999999998E-6</c:v>
                </c:pt>
                <c:pt idx="814">
                  <c:v>-3.5499999999999999E-6</c:v>
                </c:pt>
                <c:pt idx="815">
                  <c:v>-3.5449999999999999E-6</c:v>
                </c:pt>
                <c:pt idx="816">
                  <c:v>-3.54E-6</c:v>
                </c:pt>
                <c:pt idx="817">
                  <c:v>-3.535E-6</c:v>
                </c:pt>
                <c:pt idx="818">
                  <c:v>-3.5300000000000001E-6</c:v>
                </c:pt>
                <c:pt idx="819">
                  <c:v>-3.5250000000000001E-6</c:v>
                </c:pt>
                <c:pt idx="820">
                  <c:v>-3.5200000000000002E-6</c:v>
                </c:pt>
                <c:pt idx="821">
                  <c:v>-3.5149999999999998E-6</c:v>
                </c:pt>
                <c:pt idx="822">
                  <c:v>-3.5099999999999999E-6</c:v>
                </c:pt>
                <c:pt idx="823">
                  <c:v>-3.5049999999999999E-6</c:v>
                </c:pt>
                <c:pt idx="824">
                  <c:v>-3.4999999999999999E-6</c:v>
                </c:pt>
                <c:pt idx="825">
                  <c:v>-3.495E-6</c:v>
                </c:pt>
                <c:pt idx="826">
                  <c:v>-3.49E-6</c:v>
                </c:pt>
                <c:pt idx="827">
                  <c:v>-3.4850000000000001E-6</c:v>
                </c:pt>
                <c:pt idx="828">
                  <c:v>-3.4800000000000001E-6</c:v>
                </c:pt>
                <c:pt idx="829">
                  <c:v>-3.4750000000000002E-6</c:v>
                </c:pt>
                <c:pt idx="830">
                  <c:v>-3.4699999999999998E-6</c:v>
                </c:pt>
                <c:pt idx="831">
                  <c:v>-3.4649999999999999E-6</c:v>
                </c:pt>
                <c:pt idx="832">
                  <c:v>-3.4599999999999999E-6</c:v>
                </c:pt>
                <c:pt idx="833">
                  <c:v>-3.455E-6</c:v>
                </c:pt>
                <c:pt idx="834">
                  <c:v>-3.45E-6</c:v>
                </c:pt>
                <c:pt idx="835">
                  <c:v>-3.4450000000000001E-6</c:v>
                </c:pt>
                <c:pt idx="836">
                  <c:v>-3.4400000000000001E-6</c:v>
                </c:pt>
                <c:pt idx="837">
                  <c:v>-3.4350000000000001E-6</c:v>
                </c:pt>
                <c:pt idx="838">
                  <c:v>-3.4300000000000002E-6</c:v>
                </c:pt>
                <c:pt idx="839">
                  <c:v>-3.4249999999999998E-6</c:v>
                </c:pt>
                <c:pt idx="840">
                  <c:v>-3.4199999999999999E-6</c:v>
                </c:pt>
                <c:pt idx="841">
                  <c:v>-3.4149999999999999E-6</c:v>
                </c:pt>
                <c:pt idx="842">
                  <c:v>-3.41E-6</c:v>
                </c:pt>
                <c:pt idx="843">
                  <c:v>-3.405E-6</c:v>
                </c:pt>
                <c:pt idx="844">
                  <c:v>-3.4000000000000001E-6</c:v>
                </c:pt>
                <c:pt idx="845">
                  <c:v>-3.3950000000000001E-6</c:v>
                </c:pt>
                <c:pt idx="846">
                  <c:v>-3.3900000000000002E-6</c:v>
                </c:pt>
                <c:pt idx="847">
                  <c:v>-3.3850000000000002E-6</c:v>
                </c:pt>
                <c:pt idx="848">
                  <c:v>-3.3799999999999998E-6</c:v>
                </c:pt>
                <c:pt idx="849">
                  <c:v>-3.3749999999999999E-6</c:v>
                </c:pt>
                <c:pt idx="850">
                  <c:v>-3.3699999999999999E-6</c:v>
                </c:pt>
                <c:pt idx="851">
                  <c:v>-3.365E-6</c:v>
                </c:pt>
                <c:pt idx="852">
                  <c:v>-3.36E-6</c:v>
                </c:pt>
                <c:pt idx="853">
                  <c:v>-3.3550000000000001E-6</c:v>
                </c:pt>
                <c:pt idx="854">
                  <c:v>-3.3500000000000001E-6</c:v>
                </c:pt>
                <c:pt idx="855">
                  <c:v>-3.3450000000000002E-6</c:v>
                </c:pt>
                <c:pt idx="856">
                  <c:v>-3.3400000000000002E-6</c:v>
                </c:pt>
                <c:pt idx="857">
                  <c:v>-3.3349999999999998E-6</c:v>
                </c:pt>
                <c:pt idx="858">
                  <c:v>-3.3299999999999999E-6</c:v>
                </c:pt>
                <c:pt idx="859">
                  <c:v>-3.3249999999999999E-6</c:v>
                </c:pt>
                <c:pt idx="860">
                  <c:v>-3.32E-6</c:v>
                </c:pt>
                <c:pt idx="861">
                  <c:v>-3.315E-6</c:v>
                </c:pt>
                <c:pt idx="862">
                  <c:v>-3.3100000000000001E-6</c:v>
                </c:pt>
                <c:pt idx="863">
                  <c:v>-3.3050000000000001E-6</c:v>
                </c:pt>
                <c:pt idx="864">
                  <c:v>-3.3000000000000002E-6</c:v>
                </c:pt>
                <c:pt idx="865">
                  <c:v>-3.2949999999999998E-6</c:v>
                </c:pt>
                <c:pt idx="866">
                  <c:v>-3.2899999999999998E-6</c:v>
                </c:pt>
                <c:pt idx="867">
                  <c:v>-3.2849999999999999E-6</c:v>
                </c:pt>
                <c:pt idx="868">
                  <c:v>-3.2799999999999999E-6</c:v>
                </c:pt>
                <c:pt idx="869">
                  <c:v>-3.275E-6</c:v>
                </c:pt>
                <c:pt idx="870">
                  <c:v>-3.27E-6</c:v>
                </c:pt>
                <c:pt idx="871">
                  <c:v>-3.2650000000000001E-6</c:v>
                </c:pt>
                <c:pt idx="872">
                  <c:v>-3.2600000000000001E-6</c:v>
                </c:pt>
                <c:pt idx="873">
                  <c:v>-3.2550000000000002E-6</c:v>
                </c:pt>
                <c:pt idx="874">
                  <c:v>-3.2499999999999998E-6</c:v>
                </c:pt>
                <c:pt idx="875">
                  <c:v>-3.2449999999999998E-6</c:v>
                </c:pt>
                <c:pt idx="876">
                  <c:v>-3.2399999999999999E-6</c:v>
                </c:pt>
                <c:pt idx="877">
                  <c:v>-3.2349999999999999E-6</c:v>
                </c:pt>
                <c:pt idx="878">
                  <c:v>-3.23E-6</c:v>
                </c:pt>
                <c:pt idx="879">
                  <c:v>-3.225E-6</c:v>
                </c:pt>
                <c:pt idx="880">
                  <c:v>-3.2200000000000001E-6</c:v>
                </c:pt>
                <c:pt idx="881">
                  <c:v>-3.2150000000000001E-6</c:v>
                </c:pt>
                <c:pt idx="882">
                  <c:v>-3.2100000000000002E-6</c:v>
                </c:pt>
                <c:pt idx="883">
                  <c:v>-3.2049999999999998E-6</c:v>
                </c:pt>
                <c:pt idx="884">
                  <c:v>-3.1999999999999999E-6</c:v>
                </c:pt>
                <c:pt idx="885">
                  <c:v>-3.1949999999999999E-6</c:v>
                </c:pt>
                <c:pt idx="886">
                  <c:v>-3.19E-6</c:v>
                </c:pt>
                <c:pt idx="887">
                  <c:v>-3.185E-6</c:v>
                </c:pt>
                <c:pt idx="888">
                  <c:v>-3.18E-6</c:v>
                </c:pt>
                <c:pt idx="889">
                  <c:v>-3.1750000000000001E-6</c:v>
                </c:pt>
                <c:pt idx="890">
                  <c:v>-3.1700000000000001E-6</c:v>
                </c:pt>
                <c:pt idx="891">
                  <c:v>-3.1650000000000002E-6</c:v>
                </c:pt>
                <c:pt idx="892">
                  <c:v>-3.1599999999999998E-6</c:v>
                </c:pt>
                <c:pt idx="893">
                  <c:v>-3.1549999999999999E-6</c:v>
                </c:pt>
                <c:pt idx="894">
                  <c:v>-3.1499999999999999E-6</c:v>
                </c:pt>
                <c:pt idx="895">
                  <c:v>-3.145E-6</c:v>
                </c:pt>
                <c:pt idx="896">
                  <c:v>-3.14E-6</c:v>
                </c:pt>
                <c:pt idx="897">
                  <c:v>-3.1350000000000001E-6</c:v>
                </c:pt>
                <c:pt idx="898">
                  <c:v>-3.1300000000000001E-6</c:v>
                </c:pt>
                <c:pt idx="899">
                  <c:v>-3.1250000000000001E-6</c:v>
                </c:pt>
                <c:pt idx="900">
                  <c:v>-3.1200000000000002E-6</c:v>
                </c:pt>
                <c:pt idx="901">
                  <c:v>-3.1149999999999998E-6</c:v>
                </c:pt>
                <c:pt idx="902">
                  <c:v>-3.1099999999999999E-6</c:v>
                </c:pt>
                <c:pt idx="903">
                  <c:v>-3.1049999999999999E-6</c:v>
                </c:pt>
                <c:pt idx="904">
                  <c:v>-3.1E-6</c:v>
                </c:pt>
                <c:pt idx="905">
                  <c:v>-3.095E-6</c:v>
                </c:pt>
                <c:pt idx="906">
                  <c:v>-3.0900000000000001E-6</c:v>
                </c:pt>
                <c:pt idx="907">
                  <c:v>-3.0850000000000001E-6</c:v>
                </c:pt>
                <c:pt idx="908">
                  <c:v>-3.0800000000000002E-6</c:v>
                </c:pt>
                <c:pt idx="909">
                  <c:v>-3.0750000000000002E-6</c:v>
                </c:pt>
                <c:pt idx="910">
                  <c:v>-3.0699999999999998E-6</c:v>
                </c:pt>
                <c:pt idx="911">
                  <c:v>-3.0649999999999999E-6</c:v>
                </c:pt>
                <c:pt idx="912">
                  <c:v>-3.0599999999999999E-6</c:v>
                </c:pt>
                <c:pt idx="913">
                  <c:v>-3.055E-6</c:v>
                </c:pt>
                <c:pt idx="914">
                  <c:v>-3.05E-6</c:v>
                </c:pt>
                <c:pt idx="915">
                  <c:v>-3.0450000000000001E-6</c:v>
                </c:pt>
                <c:pt idx="916">
                  <c:v>-3.0400000000000001E-6</c:v>
                </c:pt>
                <c:pt idx="917">
                  <c:v>-3.0350000000000002E-6</c:v>
                </c:pt>
                <c:pt idx="918">
                  <c:v>-3.0299999999999998E-6</c:v>
                </c:pt>
                <c:pt idx="919">
                  <c:v>-3.0249999999999998E-6</c:v>
                </c:pt>
                <c:pt idx="920">
                  <c:v>-3.0199999999999999E-6</c:v>
                </c:pt>
                <c:pt idx="921">
                  <c:v>-3.0149999999999999E-6</c:v>
                </c:pt>
                <c:pt idx="922">
                  <c:v>-3.01E-6</c:v>
                </c:pt>
                <c:pt idx="923">
                  <c:v>-3.005E-6</c:v>
                </c:pt>
                <c:pt idx="924">
                  <c:v>-3.0000000000000001E-6</c:v>
                </c:pt>
                <c:pt idx="925">
                  <c:v>-2.9950000000000001E-6</c:v>
                </c:pt>
                <c:pt idx="926">
                  <c:v>-2.9900000000000002E-6</c:v>
                </c:pt>
                <c:pt idx="927">
                  <c:v>-2.9849999999999998E-6</c:v>
                </c:pt>
                <c:pt idx="928">
                  <c:v>-2.9799999999999998E-6</c:v>
                </c:pt>
                <c:pt idx="929">
                  <c:v>-2.9749999999999999E-6</c:v>
                </c:pt>
                <c:pt idx="930">
                  <c:v>-2.9699999999999999E-6</c:v>
                </c:pt>
                <c:pt idx="931">
                  <c:v>-2.965E-6</c:v>
                </c:pt>
                <c:pt idx="932">
                  <c:v>-2.96E-6</c:v>
                </c:pt>
                <c:pt idx="933">
                  <c:v>-2.9550000000000001E-6</c:v>
                </c:pt>
                <c:pt idx="934">
                  <c:v>-2.9500000000000001E-6</c:v>
                </c:pt>
                <c:pt idx="935">
                  <c:v>-2.9450000000000002E-6</c:v>
                </c:pt>
                <c:pt idx="936">
                  <c:v>-2.9399999999999998E-6</c:v>
                </c:pt>
                <c:pt idx="937">
                  <c:v>-2.9349999999999999E-6</c:v>
                </c:pt>
                <c:pt idx="938">
                  <c:v>-2.9299999999999999E-6</c:v>
                </c:pt>
                <c:pt idx="939">
                  <c:v>-2.9249999999999999E-6</c:v>
                </c:pt>
                <c:pt idx="940">
                  <c:v>-2.92E-6</c:v>
                </c:pt>
                <c:pt idx="941">
                  <c:v>-2.915E-6</c:v>
                </c:pt>
                <c:pt idx="942">
                  <c:v>-2.9100000000000001E-6</c:v>
                </c:pt>
                <c:pt idx="943">
                  <c:v>-2.9050000000000001E-6</c:v>
                </c:pt>
                <c:pt idx="944">
                  <c:v>-2.9000000000000002E-6</c:v>
                </c:pt>
                <c:pt idx="945">
                  <c:v>-2.8949999999999998E-6</c:v>
                </c:pt>
                <c:pt idx="946">
                  <c:v>-2.8899999999999999E-6</c:v>
                </c:pt>
                <c:pt idx="947">
                  <c:v>-2.8849999999999999E-6</c:v>
                </c:pt>
                <c:pt idx="948">
                  <c:v>-2.88E-6</c:v>
                </c:pt>
                <c:pt idx="949">
                  <c:v>-2.875E-6</c:v>
                </c:pt>
                <c:pt idx="950">
                  <c:v>-2.8700000000000001E-6</c:v>
                </c:pt>
                <c:pt idx="951">
                  <c:v>-2.8650000000000001E-6</c:v>
                </c:pt>
                <c:pt idx="952">
                  <c:v>-2.8600000000000001E-6</c:v>
                </c:pt>
                <c:pt idx="953">
                  <c:v>-2.8550000000000002E-6</c:v>
                </c:pt>
                <c:pt idx="954">
                  <c:v>-2.8499999999999998E-6</c:v>
                </c:pt>
                <c:pt idx="955">
                  <c:v>-2.8449999999999999E-6</c:v>
                </c:pt>
                <c:pt idx="956">
                  <c:v>-2.8399999999999999E-6</c:v>
                </c:pt>
                <c:pt idx="957">
                  <c:v>-2.835E-6</c:v>
                </c:pt>
                <c:pt idx="958">
                  <c:v>-2.83E-6</c:v>
                </c:pt>
                <c:pt idx="959">
                  <c:v>-2.8250000000000001E-6</c:v>
                </c:pt>
                <c:pt idx="960">
                  <c:v>-2.8200000000000001E-6</c:v>
                </c:pt>
                <c:pt idx="961">
                  <c:v>-2.8150000000000002E-6</c:v>
                </c:pt>
                <c:pt idx="962">
                  <c:v>-2.8100000000000002E-6</c:v>
                </c:pt>
                <c:pt idx="963">
                  <c:v>-2.8049999999999998E-6</c:v>
                </c:pt>
                <c:pt idx="964">
                  <c:v>-2.7999999999999999E-6</c:v>
                </c:pt>
                <c:pt idx="965">
                  <c:v>-2.7949999999999999E-6</c:v>
                </c:pt>
                <c:pt idx="966">
                  <c:v>-2.79E-6</c:v>
                </c:pt>
                <c:pt idx="967">
                  <c:v>-2.785E-6</c:v>
                </c:pt>
                <c:pt idx="968">
                  <c:v>-2.7800000000000001E-6</c:v>
                </c:pt>
                <c:pt idx="969">
                  <c:v>-2.7750000000000001E-6</c:v>
                </c:pt>
                <c:pt idx="970">
                  <c:v>-2.7700000000000002E-6</c:v>
                </c:pt>
                <c:pt idx="971">
                  <c:v>-2.7650000000000002E-6</c:v>
                </c:pt>
                <c:pt idx="972">
                  <c:v>-2.7599999999999998E-6</c:v>
                </c:pt>
                <c:pt idx="973">
                  <c:v>-2.7549999999999999E-6</c:v>
                </c:pt>
                <c:pt idx="974">
                  <c:v>-2.7499999999999999E-6</c:v>
                </c:pt>
                <c:pt idx="975">
                  <c:v>-2.745E-6</c:v>
                </c:pt>
                <c:pt idx="976">
                  <c:v>-2.74E-6</c:v>
                </c:pt>
                <c:pt idx="977">
                  <c:v>-2.7350000000000001E-6</c:v>
                </c:pt>
                <c:pt idx="978">
                  <c:v>-2.7300000000000001E-6</c:v>
                </c:pt>
                <c:pt idx="979">
                  <c:v>-2.7250000000000002E-6</c:v>
                </c:pt>
                <c:pt idx="980">
                  <c:v>-2.7199999999999998E-6</c:v>
                </c:pt>
                <c:pt idx="981">
                  <c:v>-2.7149999999999998E-6</c:v>
                </c:pt>
                <c:pt idx="982">
                  <c:v>-2.7099999999999999E-6</c:v>
                </c:pt>
                <c:pt idx="983">
                  <c:v>-2.7049999999999999E-6</c:v>
                </c:pt>
                <c:pt idx="984">
                  <c:v>-2.7E-6</c:v>
                </c:pt>
                <c:pt idx="985">
                  <c:v>-2.695E-6</c:v>
                </c:pt>
                <c:pt idx="986">
                  <c:v>-2.6900000000000001E-6</c:v>
                </c:pt>
                <c:pt idx="987">
                  <c:v>-2.6850000000000001E-6</c:v>
                </c:pt>
                <c:pt idx="988">
                  <c:v>-2.6800000000000002E-6</c:v>
                </c:pt>
                <c:pt idx="989">
                  <c:v>-2.6749999999999998E-6</c:v>
                </c:pt>
                <c:pt idx="990">
                  <c:v>-2.6699999999999998E-6</c:v>
                </c:pt>
                <c:pt idx="991">
                  <c:v>-2.6649999999999999E-6</c:v>
                </c:pt>
                <c:pt idx="992">
                  <c:v>-2.6599999999999999E-6</c:v>
                </c:pt>
                <c:pt idx="993">
                  <c:v>-2.655E-6</c:v>
                </c:pt>
                <c:pt idx="994">
                  <c:v>-2.65E-6</c:v>
                </c:pt>
                <c:pt idx="995">
                  <c:v>-2.6450000000000001E-6</c:v>
                </c:pt>
                <c:pt idx="996">
                  <c:v>-2.6400000000000001E-6</c:v>
                </c:pt>
                <c:pt idx="997">
                  <c:v>-2.6350000000000002E-6</c:v>
                </c:pt>
                <c:pt idx="998">
                  <c:v>-2.6299999999999998E-6</c:v>
                </c:pt>
                <c:pt idx="999">
                  <c:v>-2.6249999999999999E-6</c:v>
                </c:pt>
                <c:pt idx="1000">
                  <c:v>-2.6199999999999999E-6</c:v>
                </c:pt>
                <c:pt idx="1001">
                  <c:v>-2.615E-6</c:v>
                </c:pt>
                <c:pt idx="1002">
                  <c:v>-2.61E-6</c:v>
                </c:pt>
                <c:pt idx="1003">
                  <c:v>-2.605E-6</c:v>
                </c:pt>
                <c:pt idx="1004">
                  <c:v>-2.6000000000000001E-6</c:v>
                </c:pt>
                <c:pt idx="1005">
                  <c:v>-2.5950000000000001E-6</c:v>
                </c:pt>
                <c:pt idx="1006">
                  <c:v>-2.5900000000000002E-6</c:v>
                </c:pt>
                <c:pt idx="1007">
                  <c:v>-2.5849999999999998E-6</c:v>
                </c:pt>
                <c:pt idx="1008">
                  <c:v>-2.5799999999999999E-6</c:v>
                </c:pt>
                <c:pt idx="1009">
                  <c:v>-2.5749999999999999E-6</c:v>
                </c:pt>
                <c:pt idx="1010">
                  <c:v>-2.57E-6</c:v>
                </c:pt>
                <c:pt idx="1011">
                  <c:v>-2.565E-6</c:v>
                </c:pt>
                <c:pt idx="1012">
                  <c:v>-2.5600000000000001E-6</c:v>
                </c:pt>
                <c:pt idx="1013">
                  <c:v>-2.5550000000000001E-6</c:v>
                </c:pt>
                <c:pt idx="1014">
                  <c:v>-2.5500000000000001E-6</c:v>
                </c:pt>
                <c:pt idx="1015">
                  <c:v>-2.5450000000000002E-6</c:v>
                </c:pt>
                <c:pt idx="1016">
                  <c:v>-2.5399999999999998E-6</c:v>
                </c:pt>
                <c:pt idx="1017">
                  <c:v>-2.5349999999999999E-6</c:v>
                </c:pt>
                <c:pt idx="1018">
                  <c:v>-2.5299999999999999E-6</c:v>
                </c:pt>
                <c:pt idx="1019">
                  <c:v>-2.525E-6</c:v>
                </c:pt>
                <c:pt idx="1020">
                  <c:v>-2.52E-6</c:v>
                </c:pt>
                <c:pt idx="1021">
                  <c:v>-2.5150000000000001E-6</c:v>
                </c:pt>
                <c:pt idx="1022">
                  <c:v>-2.5100000000000001E-6</c:v>
                </c:pt>
                <c:pt idx="1023">
                  <c:v>-2.5050000000000002E-6</c:v>
                </c:pt>
                <c:pt idx="1024">
                  <c:v>-2.5000000000000002E-6</c:v>
                </c:pt>
                <c:pt idx="1025">
                  <c:v>-2.4949999999999998E-6</c:v>
                </c:pt>
                <c:pt idx="1026">
                  <c:v>-2.4899999999999999E-6</c:v>
                </c:pt>
                <c:pt idx="1027">
                  <c:v>-2.4849999999999999E-6</c:v>
                </c:pt>
                <c:pt idx="1028">
                  <c:v>-2.48E-6</c:v>
                </c:pt>
                <c:pt idx="1029">
                  <c:v>-2.475E-6</c:v>
                </c:pt>
                <c:pt idx="1030">
                  <c:v>-2.4700000000000001E-6</c:v>
                </c:pt>
                <c:pt idx="1031">
                  <c:v>-2.4650000000000001E-6</c:v>
                </c:pt>
                <c:pt idx="1032">
                  <c:v>-2.4600000000000002E-6</c:v>
                </c:pt>
                <c:pt idx="1033">
                  <c:v>-2.4550000000000002E-6</c:v>
                </c:pt>
                <c:pt idx="1034">
                  <c:v>-2.4499999999999998E-6</c:v>
                </c:pt>
                <c:pt idx="1035">
                  <c:v>-2.4449999999999999E-6</c:v>
                </c:pt>
                <c:pt idx="1036">
                  <c:v>-2.4399999999999999E-6</c:v>
                </c:pt>
                <c:pt idx="1037">
                  <c:v>-2.435E-6</c:v>
                </c:pt>
                <c:pt idx="1038">
                  <c:v>-2.43E-6</c:v>
                </c:pt>
                <c:pt idx="1039">
                  <c:v>-2.4250000000000001E-6</c:v>
                </c:pt>
                <c:pt idx="1040">
                  <c:v>-2.4200000000000001E-6</c:v>
                </c:pt>
                <c:pt idx="1041">
                  <c:v>-2.4150000000000002E-6</c:v>
                </c:pt>
                <c:pt idx="1042">
                  <c:v>-2.4099999999999998E-6</c:v>
                </c:pt>
                <c:pt idx="1043">
                  <c:v>-2.4049999999999998E-6</c:v>
                </c:pt>
                <c:pt idx="1044">
                  <c:v>-2.3999999999999999E-6</c:v>
                </c:pt>
                <c:pt idx="1045">
                  <c:v>-2.3949999999999999E-6</c:v>
                </c:pt>
                <c:pt idx="1046">
                  <c:v>-2.39E-6</c:v>
                </c:pt>
                <c:pt idx="1047">
                  <c:v>-2.385E-6</c:v>
                </c:pt>
                <c:pt idx="1048">
                  <c:v>-2.3800000000000001E-6</c:v>
                </c:pt>
                <c:pt idx="1049">
                  <c:v>-2.3750000000000001E-6</c:v>
                </c:pt>
                <c:pt idx="1050">
                  <c:v>-2.3700000000000002E-6</c:v>
                </c:pt>
                <c:pt idx="1051">
                  <c:v>-2.3649999999999998E-6</c:v>
                </c:pt>
                <c:pt idx="1052">
                  <c:v>-2.3599999999999999E-6</c:v>
                </c:pt>
                <c:pt idx="1053">
                  <c:v>-2.3549999999999999E-6</c:v>
                </c:pt>
                <c:pt idx="1054">
                  <c:v>-2.3499999999999999E-6</c:v>
                </c:pt>
                <c:pt idx="1055">
                  <c:v>-2.345E-6</c:v>
                </c:pt>
                <c:pt idx="1056">
                  <c:v>-2.34E-6</c:v>
                </c:pt>
                <c:pt idx="1057">
                  <c:v>-2.3350000000000001E-6</c:v>
                </c:pt>
                <c:pt idx="1058">
                  <c:v>-2.3300000000000001E-6</c:v>
                </c:pt>
                <c:pt idx="1059">
                  <c:v>-2.3250000000000002E-6</c:v>
                </c:pt>
                <c:pt idx="1060">
                  <c:v>-2.3199999999999998E-6</c:v>
                </c:pt>
                <c:pt idx="1061">
                  <c:v>-2.3149999999999999E-6</c:v>
                </c:pt>
                <c:pt idx="1062">
                  <c:v>-2.3099999999999999E-6</c:v>
                </c:pt>
                <c:pt idx="1063">
                  <c:v>-2.305E-6</c:v>
                </c:pt>
                <c:pt idx="1064">
                  <c:v>-2.3E-6</c:v>
                </c:pt>
                <c:pt idx="1065">
                  <c:v>-2.295E-6</c:v>
                </c:pt>
                <c:pt idx="1066">
                  <c:v>-2.2900000000000001E-6</c:v>
                </c:pt>
                <c:pt idx="1067">
                  <c:v>-2.2850000000000001E-6</c:v>
                </c:pt>
                <c:pt idx="1068">
                  <c:v>-2.2800000000000002E-6</c:v>
                </c:pt>
                <c:pt idx="1069">
                  <c:v>-2.2749999999999998E-6</c:v>
                </c:pt>
                <c:pt idx="1070">
                  <c:v>-2.2699999999999999E-6</c:v>
                </c:pt>
                <c:pt idx="1071">
                  <c:v>-2.2649999999999999E-6</c:v>
                </c:pt>
                <c:pt idx="1072">
                  <c:v>-2.26E-6</c:v>
                </c:pt>
                <c:pt idx="1073">
                  <c:v>-2.255E-6</c:v>
                </c:pt>
                <c:pt idx="1074">
                  <c:v>-2.2500000000000001E-6</c:v>
                </c:pt>
                <c:pt idx="1075">
                  <c:v>-2.2450000000000001E-6</c:v>
                </c:pt>
                <c:pt idx="1076">
                  <c:v>-2.2400000000000002E-6</c:v>
                </c:pt>
                <c:pt idx="1077">
                  <c:v>-2.2350000000000002E-6</c:v>
                </c:pt>
                <c:pt idx="1078">
                  <c:v>-2.2299999999999998E-6</c:v>
                </c:pt>
                <c:pt idx="1079">
                  <c:v>-2.2249999999999999E-6</c:v>
                </c:pt>
                <c:pt idx="1080">
                  <c:v>-2.2199999999999999E-6</c:v>
                </c:pt>
                <c:pt idx="1081">
                  <c:v>-2.215E-6</c:v>
                </c:pt>
                <c:pt idx="1082">
                  <c:v>-2.21E-6</c:v>
                </c:pt>
                <c:pt idx="1083">
                  <c:v>-2.2050000000000001E-6</c:v>
                </c:pt>
                <c:pt idx="1084">
                  <c:v>-2.2000000000000001E-6</c:v>
                </c:pt>
                <c:pt idx="1085">
                  <c:v>-2.1950000000000002E-6</c:v>
                </c:pt>
                <c:pt idx="1086">
                  <c:v>-2.1900000000000002E-6</c:v>
                </c:pt>
                <c:pt idx="1087">
                  <c:v>-2.1849999999999998E-6</c:v>
                </c:pt>
                <c:pt idx="1088">
                  <c:v>-2.1799999999999999E-6</c:v>
                </c:pt>
                <c:pt idx="1089">
                  <c:v>-2.1749999999999999E-6</c:v>
                </c:pt>
                <c:pt idx="1090">
                  <c:v>-2.17E-6</c:v>
                </c:pt>
                <c:pt idx="1091">
                  <c:v>-2.165E-6</c:v>
                </c:pt>
                <c:pt idx="1092">
                  <c:v>-2.1600000000000001E-6</c:v>
                </c:pt>
                <c:pt idx="1093">
                  <c:v>-2.1550000000000001E-6</c:v>
                </c:pt>
                <c:pt idx="1094">
                  <c:v>-2.1500000000000002E-6</c:v>
                </c:pt>
                <c:pt idx="1095">
                  <c:v>-2.1449999999999998E-6</c:v>
                </c:pt>
                <c:pt idx="1096">
                  <c:v>-2.1399999999999998E-6</c:v>
                </c:pt>
                <c:pt idx="1097">
                  <c:v>-2.1349999999999999E-6</c:v>
                </c:pt>
                <c:pt idx="1098">
                  <c:v>-2.1299999999999999E-6</c:v>
                </c:pt>
                <c:pt idx="1099">
                  <c:v>-2.125E-6</c:v>
                </c:pt>
                <c:pt idx="1100">
                  <c:v>-2.12E-6</c:v>
                </c:pt>
                <c:pt idx="1101">
                  <c:v>-2.1150000000000001E-6</c:v>
                </c:pt>
                <c:pt idx="1102">
                  <c:v>-2.1100000000000001E-6</c:v>
                </c:pt>
                <c:pt idx="1103">
                  <c:v>-2.1050000000000002E-6</c:v>
                </c:pt>
                <c:pt idx="1104">
                  <c:v>-2.0999999999999998E-6</c:v>
                </c:pt>
                <c:pt idx="1105">
                  <c:v>-2.0949999999999998E-6</c:v>
                </c:pt>
                <c:pt idx="1106">
                  <c:v>-2.0899999999999999E-6</c:v>
                </c:pt>
                <c:pt idx="1107">
                  <c:v>-2.0849999999999999E-6</c:v>
                </c:pt>
                <c:pt idx="1108">
                  <c:v>-2.08E-6</c:v>
                </c:pt>
                <c:pt idx="1109">
                  <c:v>-2.075E-6</c:v>
                </c:pt>
                <c:pt idx="1110">
                  <c:v>-2.0700000000000001E-6</c:v>
                </c:pt>
                <c:pt idx="1111">
                  <c:v>-2.0650000000000001E-6</c:v>
                </c:pt>
                <c:pt idx="1112">
                  <c:v>-2.0600000000000002E-6</c:v>
                </c:pt>
                <c:pt idx="1113">
                  <c:v>-2.0549999999999998E-6</c:v>
                </c:pt>
                <c:pt idx="1114">
                  <c:v>-2.0499999999999999E-6</c:v>
                </c:pt>
                <c:pt idx="1115">
                  <c:v>-2.0449999999999999E-6</c:v>
                </c:pt>
                <c:pt idx="1116">
                  <c:v>-2.04E-6</c:v>
                </c:pt>
                <c:pt idx="1117">
                  <c:v>-2.035E-6</c:v>
                </c:pt>
                <c:pt idx="1118">
                  <c:v>-2.03E-6</c:v>
                </c:pt>
                <c:pt idx="1119">
                  <c:v>-2.0250000000000001E-6</c:v>
                </c:pt>
                <c:pt idx="1120">
                  <c:v>-2.0200000000000001E-6</c:v>
                </c:pt>
                <c:pt idx="1121">
                  <c:v>-2.0150000000000002E-6</c:v>
                </c:pt>
                <c:pt idx="1122">
                  <c:v>-2.0099999999999998E-6</c:v>
                </c:pt>
                <c:pt idx="1123">
                  <c:v>-2.0049999999999999E-6</c:v>
                </c:pt>
                <c:pt idx="1124">
                  <c:v>-1.9999999999999999E-6</c:v>
                </c:pt>
                <c:pt idx="1125">
                  <c:v>-1.995E-6</c:v>
                </c:pt>
                <c:pt idx="1126">
                  <c:v>-1.99E-6</c:v>
                </c:pt>
                <c:pt idx="1127">
                  <c:v>-1.9850000000000001E-6</c:v>
                </c:pt>
                <c:pt idx="1128">
                  <c:v>-1.9800000000000001E-6</c:v>
                </c:pt>
                <c:pt idx="1129">
                  <c:v>-1.9750000000000001E-6</c:v>
                </c:pt>
                <c:pt idx="1130">
                  <c:v>-1.9700000000000002E-6</c:v>
                </c:pt>
                <c:pt idx="1131">
                  <c:v>-1.9649999999999998E-6</c:v>
                </c:pt>
                <c:pt idx="1132">
                  <c:v>-1.9599999999999999E-6</c:v>
                </c:pt>
                <c:pt idx="1133">
                  <c:v>-1.9549999999999999E-6</c:v>
                </c:pt>
                <c:pt idx="1134">
                  <c:v>-1.95E-6</c:v>
                </c:pt>
                <c:pt idx="1135">
                  <c:v>-1.945E-6</c:v>
                </c:pt>
                <c:pt idx="1136">
                  <c:v>-1.9400000000000001E-6</c:v>
                </c:pt>
                <c:pt idx="1137">
                  <c:v>-1.9350000000000001E-6</c:v>
                </c:pt>
                <c:pt idx="1138">
                  <c:v>-1.9300000000000002E-6</c:v>
                </c:pt>
                <c:pt idx="1139">
                  <c:v>-1.9250000000000002E-6</c:v>
                </c:pt>
                <c:pt idx="1140">
                  <c:v>-1.9199999999999998E-6</c:v>
                </c:pt>
                <c:pt idx="1141">
                  <c:v>-1.9149999999999999E-6</c:v>
                </c:pt>
                <c:pt idx="1142">
                  <c:v>-1.9099999999999999E-6</c:v>
                </c:pt>
                <c:pt idx="1143">
                  <c:v>-1.905E-6</c:v>
                </c:pt>
                <c:pt idx="1144">
                  <c:v>-1.9E-6</c:v>
                </c:pt>
                <c:pt idx="1145">
                  <c:v>-1.8950000000000001E-6</c:v>
                </c:pt>
                <c:pt idx="1146">
                  <c:v>-1.8899999999999999E-6</c:v>
                </c:pt>
                <c:pt idx="1147">
                  <c:v>-1.885E-6</c:v>
                </c:pt>
                <c:pt idx="1148">
                  <c:v>-1.88E-6</c:v>
                </c:pt>
                <c:pt idx="1149">
                  <c:v>-1.875E-6</c:v>
                </c:pt>
                <c:pt idx="1150">
                  <c:v>-1.8700000000000001E-6</c:v>
                </c:pt>
                <c:pt idx="1151">
                  <c:v>-1.8649999999999999E-6</c:v>
                </c:pt>
                <c:pt idx="1152">
                  <c:v>-1.86E-6</c:v>
                </c:pt>
                <c:pt idx="1153">
                  <c:v>-1.855E-6</c:v>
                </c:pt>
                <c:pt idx="1154">
                  <c:v>-1.8500000000000001E-6</c:v>
                </c:pt>
                <c:pt idx="1155">
                  <c:v>-1.8449999999999999E-6</c:v>
                </c:pt>
                <c:pt idx="1156">
                  <c:v>-1.84E-6</c:v>
                </c:pt>
                <c:pt idx="1157">
                  <c:v>-1.835E-6</c:v>
                </c:pt>
                <c:pt idx="1158">
                  <c:v>-1.8300000000000001E-6</c:v>
                </c:pt>
                <c:pt idx="1159">
                  <c:v>-1.8250000000000001E-6</c:v>
                </c:pt>
                <c:pt idx="1160">
                  <c:v>-1.8199999999999999E-6</c:v>
                </c:pt>
                <c:pt idx="1161">
                  <c:v>-1.815E-6</c:v>
                </c:pt>
                <c:pt idx="1162">
                  <c:v>-1.81E-6</c:v>
                </c:pt>
                <c:pt idx="1163">
                  <c:v>-1.8050000000000001E-6</c:v>
                </c:pt>
                <c:pt idx="1164">
                  <c:v>-1.7999999999999999E-6</c:v>
                </c:pt>
                <c:pt idx="1165">
                  <c:v>-1.795E-6</c:v>
                </c:pt>
                <c:pt idx="1166">
                  <c:v>-1.79E-6</c:v>
                </c:pt>
                <c:pt idx="1167">
                  <c:v>-1.7850000000000001E-6</c:v>
                </c:pt>
                <c:pt idx="1168">
                  <c:v>-1.7799999999999999E-6</c:v>
                </c:pt>
                <c:pt idx="1169">
                  <c:v>-1.7749999999999999E-6</c:v>
                </c:pt>
                <c:pt idx="1170">
                  <c:v>-1.77E-6</c:v>
                </c:pt>
                <c:pt idx="1171">
                  <c:v>-1.765E-6</c:v>
                </c:pt>
                <c:pt idx="1172">
                  <c:v>-1.7600000000000001E-6</c:v>
                </c:pt>
                <c:pt idx="1173">
                  <c:v>-1.7549999999999999E-6</c:v>
                </c:pt>
                <c:pt idx="1174">
                  <c:v>-1.75E-6</c:v>
                </c:pt>
                <c:pt idx="1175">
                  <c:v>-1.745E-6</c:v>
                </c:pt>
                <c:pt idx="1176">
                  <c:v>-1.7400000000000001E-6</c:v>
                </c:pt>
                <c:pt idx="1177">
                  <c:v>-1.7349999999999999E-6</c:v>
                </c:pt>
                <c:pt idx="1178">
                  <c:v>-1.73E-6</c:v>
                </c:pt>
                <c:pt idx="1179">
                  <c:v>-1.725E-6</c:v>
                </c:pt>
                <c:pt idx="1180">
                  <c:v>-1.72E-6</c:v>
                </c:pt>
                <c:pt idx="1181">
                  <c:v>-1.7150000000000001E-6</c:v>
                </c:pt>
                <c:pt idx="1182">
                  <c:v>-1.7099999999999999E-6</c:v>
                </c:pt>
                <c:pt idx="1183">
                  <c:v>-1.705E-6</c:v>
                </c:pt>
                <c:pt idx="1184">
                  <c:v>-1.7E-6</c:v>
                </c:pt>
                <c:pt idx="1185">
                  <c:v>-1.6950000000000001E-6</c:v>
                </c:pt>
                <c:pt idx="1186">
                  <c:v>-1.6899999999999999E-6</c:v>
                </c:pt>
                <c:pt idx="1187">
                  <c:v>-1.685E-6</c:v>
                </c:pt>
                <c:pt idx="1188">
                  <c:v>-1.68E-6</c:v>
                </c:pt>
                <c:pt idx="1189">
                  <c:v>-1.6750000000000001E-6</c:v>
                </c:pt>
                <c:pt idx="1190">
                  <c:v>-1.6700000000000001E-6</c:v>
                </c:pt>
                <c:pt idx="1191">
                  <c:v>-1.6649999999999999E-6</c:v>
                </c:pt>
                <c:pt idx="1192">
                  <c:v>-1.66E-6</c:v>
                </c:pt>
                <c:pt idx="1193">
                  <c:v>-1.655E-6</c:v>
                </c:pt>
                <c:pt idx="1194">
                  <c:v>-1.6500000000000001E-6</c:v>
                </c:pt>
                <c:pt idx="1195">
                  <c:v>-1.6449999999999999E-6</c:v>
                </c:pt>
                <c:pt idx="1196">
                  <c:v>-1.64E-6</c:v>
                </c:pt>
                <c:pt idx="1197">
                  <c:v>-1.635E-6</c:v>
                </c:pt>
                <c:pt idx="1198">
                  <c:v>-1.6300000000000001E-6</c:v>
                </c:pt>
                <c:pt idx="1199">
                  <c:v>-1.6249999999999999E-6</c:v>
                </c:pt>
                <c:pt idx="1200">
                  <c:v>-1.6199999999999999E-6</c:v>
                </c:pt>
                <c:pt idx="1201">
                  <c:v>-1.615E-6</c:v>
                </c:pt>
                <c:pt idx="1202">
                  <c:v>-1.61E-6</c:v>
                </c:pt>
                <c:pt idx="1203">
                  <c:v>-1.6050000000000001E-6</c:v>
                </c:pt>
                <c:pt idx="1204">
                  <c:v>-1.5999999999999999E-6</c:v>
                </c:pt>
                <c:pt idx="1205">
                  <c:v>-1.595E-6</c:v>
                </c:pt>
                <c:pt idx="1206">
                  <c:v>-1.59E-6</c:v>
                </c:pt>
                <c:pt idx="1207">
                  <c:v>-1.5850000000000001E-6</c:v>
                </c:pt>
                <c:pt idx="1208">
                  <c:v>-1.5799999999999999E-6</c:v>
                </c:pt>
                <c:pt idx="1209">
                  <c:v>-1.575E-6</c:v>
                </c:pt>
                <c:pt idx="1210">
                  <c:v>-1.57E-6</c:v>
                </c:pt>
                <c:pt idx="1211">
                  <c:v>-1.5650000000000001E-6</c:v>
                </c:pt>
                <c:pt idx="1212">
                  <c:v>-1.5600000000000001E-6</c:v>
                </c:pt>
                <c:pt idx="1213">
                  <c:v>-1.5549999999999999E-6</c:v>
                </c:pt>
                <c:pt idx="1214">
                  <c:v>-1.55E-6</c:v>
                </c:pt>
                <c:pt idx="1215">
                  <c:v>-1.545E-6</c:v>
                </c:pt>
                <c:pt idx="1216">
                  <c:v>-1.5400000000000001E-6</c:v>
                </c:pt>
                <c:pt idx="1217">
                  <c:v>-1.5349999999999999E-6</c:v>
                </c:pt>
                <c:pt idx="1218">
                  <c:v>-1.53E-6</c:v>
                </c:pt>
                <c:pt idx="1219">
                  <c:v>-1.525E-6</c:v>
                </c:pt>
                <c:pt idx="1220">
                  <c:v>-1.5200000000000001E-6</c:v>
                </c:pt>
                <c:pt idx="1221">
                  <c:v>-1.5149999999999999E-6</c:v>
                </c:pt>
                <c:pt idx="1222">
                  <c:v>-1.5099999999999999E-6</c:v>
                </c:pt>
                <c:pt idx="1223">
                  <c:v>-1.505E-6</c:v>
                </c:pt>
                <c:pt idx="1224">
                  <c:v>-1.5E-6</c:v>
                </c:pt>
                <c:pt idx="1225">
                  <c:v>-1.4950000000000001E-6</c:v>
                </c:pt>
                <c:pt idx="1226">
                  <c:v>-1.4899999999999999E-6</c:v>
                </c:pt>
                <c:pt idx="1227">
                  <c:v>-1.485E-6</c:v>
                </c:pt>
                <c:pt idx="1228">
                  <c:v>-1.48E-6</c:v>
                </c:pt>
                <c:pt idx="1229">
                  <c:v>-1.4750000000000001E-6</c:v>
                </c:pt>
                <c:pt idx="1230">
                  <c:v>-1.4699999999999999E-6</c:v>
                </c:pt>
                <c:pt idx="1231">
                  <c:v>-1.4649999999999999E-6</c:v>
                </c:pt>
                <c:pt idx="1232">
                  <c:v>-1.46E-6</c:v>
                </c:pt>
                <c:pt idx="1233">
                  <c:v>-1.455E-6</c:v>
                </c:pt>
                <c:pt idx="1234">
                  <c:v>-1.4500000000000001E-6</c:v>
                </c:pt>
                <c:pt idx="1235">
                  <c:v>-1.4449999999999999E-6</c:v>
                </c:pt>
                <c:pt idx="1236">
                  <c:v>-1.44E-6</c:v>
                </c:pt>
                <c:pt idx="1237">
                  <c:v>-1.435E-6</c:v>
                </c:pt>
                <c:pt idx="1238">
                  <c:v>-1.4300000000000001E-6</c:v>
                </c:pt>
                <c:pt idx="1239">
                  <c:v>-1.4249999999999999E-6</c:v>
                </c:pt>
                <c:pt idx="1240">
                  <c:v>-1.42E-6</c:v>
                </c:pt>
                <c:pt idx="1241">
                  <c:v>-1.415E-6</c:v>
                </c:pt>
                <c:pt idx="1242">
                  <c:v>-1.4100000000000001E-6</c:v>
                </c:pt>
                <c:pt idx="1243">
                  <c:v>-1.4050000000000001E-6</c:v>
                </c:pt>
                <c:pt idx="1244">
                  <c:v>-1.3999999999999999E-6</c:v>
                </c:pt>
                <c:pt idx="1245">
                  <c:v>-1.395E-6</c:v>
                </c:pt>
                <c:pt idx="1246">
                  <c:v>-1.39E-6</c:v>
                </c:pt>
                <c:pt idx="1247">
                  <c:v>-1.3850000000000001E-6</c:v>
                </c:pt>
                <c:pt idx="1248">
                  <c:v>-1.3799999999999999E-6</c:v>
                </c:pt>
                <c:pt idx="1249">
                  <c:v>-1.375E-6</c:v>
                </c:pt>
                <c:pt idx="1250">
                  <c:v>-1.37E-6</c:v>
                </c:pt>
                <c:pt idx="1251">
                  <c:v>-1.3650000000000001E-6</c:v>
                </c:pt>
                <c:pt idx="1252">
                  <c:v>-1.3599999999999999E-6</c:v>
                </c:pt>
                <c:pt idx="1253">
                  <c:v>-1.3549999999999999E-6</c:v>
                </c:pt>
                <c:pt idx="1254">
                  <c:v>-1.35E-6</c:v>
                </c:pt>
                <c:pt idx="1255">
                  <c:v>-1.345E-6</c:v>
                </c:pt>
                <c:pt idx="1256">
                  <c:v>-1.3400000000000001E-6</c:v>
                </c:pt>
                <c:pt idx="1257">
                  <c:v>-1.3349999999999999E-6</c:v>
                </c:pt>
                <c:pt idx="1258">
                  <c:v>-1.33E-6</c:v>
                </c:pt>
                <c:pt idx="1259">
                  <c:v>-1.325E-6</c:v>
                </c:pt>
                <c:pt idx="1260">
                  <c:v>-1.3200000000000001E-6</c:v>
                </c:pt>
                <c:pt idx="1261">
                  <c:v>-1.3149999999999999E-6</c:v>
                </c:pt>
                <c:pt idx="1262">
                  <c:v>-1.31E-6</c:v>
                </c:pt>
                <c:pt idx="1263">
                  <c:v>-1.305E-6</c:v>
                </c:pt>
                <c:pt idx="1264">
                  <c:v>-1.3E-6</c:v>
                </c:pt>
                <c:pt idx="1265">
                  <c:v>-1.2950000000000001E-6</c:v>
                </c:pt>
                <c:pt idx="1266">
                  <c:v>-1.2899999999999999E-6</c:v>
                </c:pt>
                <c:pt idx="1267">
                  <c:v>-1.285E-6</c:v>
                </c:pt>
                <c:pt idx="1268">
                  <c:v>-1.28E-6</c:v>
                </c:pt>
                <c:pt idx="1269">
                  <c:v>-1.2750000000000001E-6</c:v>
                </c:pt>
                <c:pt idx="1270">
                  <c:v>-1.2699999999999999E-6</c:v>
                </c:pt>
                <c:pt idx="1271">
                  <c:v>-1.265E-6</c:v>
                </c:pt>
                <c:pt idx="1272">
                  <c:v>-1.26E-6</c:v>
                </c:pt>
                <c:pt idx="1273">
                  <c:v>-1.2550000000000001E-6</c:v>
                </c:pt>
                <c:pt idx="1274">
                  <c:v>-1.2500000000000001E-6</c:v>
                </c:pt>
                <c:pt idx="1275">
                  <c:v>-1.2449999999999999E-6</c:v>
                </c:pt>
                <c:pt idx="1276">
                  <c:v>-1.24E-6</c:v>
                </c:pt>
                <c:pt idx="1277">
                  <c:v>-1.235E-6</c:v>
                </c:pt>
                <c:pt idx="1278">
                  <c:v>-1.2300000000000001E-6</c:v>
                </c:pt>
                <c:pt idx="1279">
                  <c:v>-1.2249999999999999E-6</c:v>
                </c:pt>
                <c:pt idx="1280">
                  <c:v>-1.22E-6</c:v>
                </c:pt>
                <c:pt idx="1281">
                  <c:v>-1.215E-6</c:v>
                </c:pt>
                <c:pt idx="1282">
                  <c:v>-1.2100000000000001E-6</c:v>
                </c:pt>
                <c:pt idx="1283">
                  <c:v>-1.2049999999999999E-6</c:v>
                </c:pt>
                <c:pt idx="1284">
                  <c:v>-1.1999999999999999E-6</c:v>
                </c:pt>
                <c:pt idx="1285">
                  <c:v>-1.195E-6</c:v>
                </c:pt>
                <c:pt idx="1286">
                  <c:v>-1.19E-6</c:v>
                </c:pt>
                <c:pt idx="1287">
                  <c:v>-1.1850000000000001E-6</c:v>
                </c:pt>
                <c:pt idx="1288">
                  <c:v>-1.1799999999999999E-6</c:v>
                </c:pt>
                <c:pt idx="1289">
                  <c:v>-1.175E-6</c:v>
                </c:pt>
                <c:pt idx="1290">
                  <c:v>-1.17E-6</c:v>
                </c:pt>
                <c:pt idx="1291">
                  <c:v>-1.1650000000000001E-6</c:v>
                </c:pt>
                <c:pt idx="1292">
                  <c:v>-1.1599999999999999E-6</c:v>
                </c:pt>
                <c:pt idx="1293">
                  <c:v>-1.155E-6</c:v>
                </c:pt>
                <c:pt idx="1294">
                  <c:v>-1.15E-6</c:v>
                </c:pt>
                <c:pt idx="1295">
                  <c:v>-1.145E-6</c:v>
                </c:pt>
                <c:pt idx="1296">
                  <c:v>-1.1400000000000001E-6</c:v>
                </c:pt>
                <c:pt idx="1297">
                  <c:v>-1.1349999999999999E-6</c:v>
                </c:pt>
                <c:pt idx="1298">
                  <c:v>-1.13E-6</c:v>
                </c:pt>
                <c:pt idx="1299">
                  <c:v>-1.125E-6</c:v>
                </c:pt>
                <c:pt idx="1300">
                  <c:v>-1.1200000000000001E-6</c:v>
                </c:pt>
                <c:pt idx="1301">
                  <c:v>-1.1149999999999999E-6</c:v>
                </c:pt>
                <c:pt idx="1302">
                  <c:v>-1.11E-6</c:v>
                </c:pt>
                <c:pt idx="1303">
                  <c:v>-1.105E-6</c:v>
                </c:pt>
                <c:pt idx="1304">
                  <c:v>-1.1000000000000001E-6</c:v>
                </c:pt>
                <c:pt idx="1305">
                  <c:v>-1.0950000000000001E-6</c:v>
                </c:pt>
                <c:pt idx="1306">
                  <c:v>-1.0899999999999999E-6</c:v>
                </c:pt>
                <c:pt idx="1307">
                  <c:v>-1.085E-6</c:v>
                </c:pt>
                <c:pt idx="1308">
                  <c:v>-1.08E-6</c:v>
                </c:pt>
                <c:pt idx="1309">
                  <c:v>-1.0750000000000001E-6</c:v>
                </c:pt>
                <c:pt idx="1310">
                  <c:v>-1.0699999999999999E-6</c:v>
                </c:pt>
                <c:pt idx="1311">
                  <c:v>-1.065E-6</c:v>
                </c:pt>
                <c:pt idx="1312">
                  <c:v>-1.06E-6</c:v>
                </c:pt>
                <c:pt idx="1313">
                  <c:v>-1.0550000000000001E-6</c:v>
                </c:pt>
                <c:pt idx="1314">
                  <c:v>-1.0499999999999999E-6</c:v>
                </c:pt>
                <c:pt idx="1315">
                  <c:v>-1.0449999999999999E-6</c:v>
                </c:pt>
                <c:pt idx="1316">
                  <c:v>-1.04E-6</c:v>
                </c:pt>
                <c:pt idx="1317">
                  <c:v>-1.035E-6</c:v>
                </c:pt>
                <c:pt idx="1318">
                  <c:v>-1.0300000000000001E-6</c:v>
                </c:pt>
                <c:pt idx="1319">
                  <c:v>-1.0249999999999999E-6</c:v>
                </c:pt>
                <c:pt idx="1320">
                  <c:v>-1.02E-6</c:v>
                </c:pt>
                <c:pt idx="1321">
                  <c:v>-1.015E-6</c:v>
                </c:pt>
                <c:pt idx="1322">
                  <c:v>-1.0100000000000001E-6</c:v>
                </c:pt>
                <c:pt idx="1323">
                  <c:v>-1.0049999999999999E-6</c:v>
                </c:pt>
                <c:pt idx="1324">
                  <c:v>-9.9999999999999995E-7</c:v>
                </c:pt>
                <c:pt idx="1325">
                  <c:v>-9.95E-7</c:v>
                </c:pt>
                <c:pt idx="1326">
                  <c:v>-9.9000000000000005E-7</c:v>
                </c:pt>
                <c:pt idx="1327">
                  <c:v>-9.850000000000001E-7</c:v>
                </c:pt>
                <c:pt idx="1328">
                  <c:v>-9.7999999999999993E-7</c:v>
                </c:pt>
                <c:pt idx="1329">
                  <c:v>-9.7499999999999998E-7</c:v>
                </c:pt>
                <c:pt idx="1330">
                  <c:v>-9.7000000000000003E-7</c:v>
                </c:pt>
                <c:pt idx="1331">
                  <c:v>-9.6500000000000008E-7</c:v>
                </c:pt>
                <c:pt idx="1332">
                  <c:v>-9.5999999999999991E-7</c:v>
                </c:pt>
                <c:pt idx="1333">
                  <c:v>-9.5499999999999996E-7</c:v>
                </c:pt>
                <c:pt idx="1334">
                  <c:v>-9.5000000000000001E-7</c:v>
                </c:pt>
                <c:pt idx="1335">
                  <c:v>-9.4499999999999995E-7</c:v>
                </c:pt>
                <c:pt idx="1336">
                  <c:v>-9.4E-7</c:v>
                </c:pt>
                <c:pt idx="1337">
                  <c:v>-9.3500000000000005E-7</c:v>
                </c:pt>
                <c:pt idx="1338">
                  <c:v>-9.2999999999999999E-7</c:v>
                </c:pt>
                <c:pt idx="1339">
                  <c:v>-9.2500000000000004E-7</c:v>
                </c:pt>
                <c:pt idx="1340">
                  <c:v>-9.1999999999999998E-7</c:v>
                </c:pt>
                <c:pt idx="1341">
                  <c:v>-9.1500000000000003E-7</c:v>
                </c:pt>
                <c:pt idx="1342">
                  <c:v>-9.0999999999999997E-7</c:v>
                </c:pt>
                <c:pt idx="1343">
                  <c:v>-9.0500000000000002E-7</c:v>
                </c:pt>
                <c:pt idx="1344">
                  <c:v>-8.9999999999999996E-7</c:v>
                </c:pt>
                <c:pt idx="1345">
                  <c:v>-8.9500000000000001E-7</c:v>
                </c:pt>
                <c:pt idx="1346">
                  <c:v>-8.8999999999999995E-7</c:v>
                </c:pt>
                <c:pt idx="1347">
                  <c:v>-8.85E-7</c:v>
                </c:pt>
                <c:pt idx="1348">
                  <c:v>-8.8000000000000004E-7</c:v>
                </c:pt>
                <c:pt idx="1349">
                  <c:v>-8.7499999999999999E-7</c:v>
                </c:pt>
                <c:pt idx="1350">
                  <c:v>-8.7000000000000003E-7</c:v>
                </c:pt>
                <c:pt idx="1351">
                  <c:v>-8.6499999999999998E-7</c:v>
                </c:pt>
                <c:pt idx="1352">
                  <c:v>-8.6000000000000002E-7</c:v>
                </c:pt>
                <c:pt idx="1353">
                  <c:v>-8.5499999999999997E-7</c:v>
                </c:pt>
                <c:pt idx="1354">
                  <c:v>-8.5000000000000001E-7</c:v>
                </c:pt>
                <c:pt idx="1355">
                  <c:v>-8.4499999999999996E-7</c:v>
                </c:pt>
                <c:pt idx="1356">
                  <c:v>-8.4E-7</c:v>
                </c:pt>
                <c:pt idx="1357">
                  <c:v>-8.3500000000000005E-7</c:v>
                </c:pt>
                <c:pt idx="1358">
                  <c:v>-8.2999999999999999E-7</c:v>
                </c:pt>
                <c:pt idx="1359">
                  <c:v>-8.2500000000000004E-7</c:v>
                </c:pt>
                <c:pt idx="1360">
                  <c:v>-8.1999999999999998E-7</c:v>
                </c:pt>
                <c:pt idx="1361">
                  <c:v>-8.1500000000000003E-7</c:v>
                </c:pt>
                <c:pt idx="1362">
                  <c:v>-8.0999999999999997E-7</c:v>
                </c:pt>
                <c:pt idx="1363">
                  <c:v>-8.0500000000000002E-7</c:v>
                </c:pt>
                <c:pt idx="1364">
                  <c:v>-7.9999999999999996E-7</c:v>
                </c:pt>
                <c:pt idx="1365">
                  <c:v>-7.9500000000000001E-7</c:v>
                </c:pt>
                <c:pt idx="1366">
                  <c:v>-7.8999999999999995E-7</c:v>
                </c:pt>
                <c:pt idx="1367">
                  <c:v>-7.85E-7</c:v>
                </c:pt>
                <c:pt idx="1368">
                  <c:v>-7.8000000000000005E-7</c:v>
                </c:pt>
                <c:pt idx="1369">
                  <c:v>-7.7499999999999999E-7</c:v>
                </c:pt>
                <c:pt idx="1370">
                  <c:v>-7.7000000000000004E-7</c:v>
                </c:pt>
                <c:pt idx="1371">
                  <c:v>-7.6499999999999998E-7</c:v>
                </c:pt>
                <c:pt idx="1372">
                  <c:v>-7.6000000000000003E-7</c:v>
                </c:pt>
                <c:pt idx="1373">
                  <c:v>-7.5499999999999997E-7</c:v>
                </c:pt>
                <c:pt idx="1374">
                  <c:v>-7.5000000000000002E-7</c:v>
                </c:pt>
                <c:pt idx="1375">
                  <c:v>-7.4499999999999996E-7</c:v>
                </c:pt>
                <c:pt idx="1376">
                  <c:v>-7.4000000000000001E-7</c:v>
                </c:pt>
                <c:pt idx="1377">
                  <c:v>-7.3499999999999995E-7</c:v>
                </c:pt>
                <c:pt idx="1378">
                  <c:v>-7.3E-7</c:v>
                </c:pt>
                <c:pt idx="1379">
                  <c:v>-7.2500000000000005E-7</c:v>
                </c:pt>
                <c:pt idx="1380">
                  <c:v>-7.1999999999999999E-7</c:v>
                </c:pt>
                <c:pt idx="1381">
                  <c:v>-7.1500000000000004E-7</c:v>
                </c:pt>
                <c:pt idx="1382">
                  <c:v>-7.0999999999999998E-7</c:v>
                </c:pt>
                <c:pt idx="1383">
                  <c:v>-7.0500000000000003E-7</c:v>
                </c:pt>
                <c:pt idx="1384">
                  <c:v>-6.9999999999999997E-7</c:v>
                </c:pt>
                <c:pt idx="1385">
                  <c:v>-6.9500000000000002E-7</c:v>
                </c:pt>
                <c:pt idx="1386">
                  <c:v>-6.8999999999999996E-7</c:v>
                </c:pt>
                <c:pt idx="1387">
                  <c:v>-6.8500000000000001E-7</c:v>
                </c:pt>
                <c:pt idx="1388">
                  <c:v>-6.7999999999999995E-7</c:v>
                </c:pt>
                <c:pt idx="1389">
                  <c:v>-6.75E-7</c:v>
                </c:pt>
                <c:pt idx="1390">
                  <c:v>-6.7000000000000004E-7</c:v>
                </c:pt>
                <c:pt idx="1391">
                  <c:v>-6.6499999999999999E-7</c:v>
                </c:pt>
                <c:pt idx="1392">
                  <c:v>-6.6000000000000003E-7</c:v>
                </c:pt>
                <c:pt idx="1393">
                  <c:v>-6.5499999999999998E-7</c:v>
                </c:pt>
                <c:pt idx="1394">
                  <c:v>-6.5000000000000002E-7</c:v>
                </c:pt>
                <c:pt idx="1395">
                  <c:v>-6.4499999999999997E-7</c:v>
                </c:pt>
                <c:pt idx="1396">
                  <c:v>-6.4000000000000001E-7</c:v>
                </c:pt>
                <c:pt idx="1397">
                  <c:v>-6.3499999999999996E-7</c:v>
                </c:pt>
                <c:pt idx="1398">
                  <c:v>-6.3E-7</c:v>
                </c:pt>
                <c:pt idx="1399">
                  <c:v>-6.2500000000000005E-7</c:v>
                </c:pt>
                <c:pt idx="1400">
                  <c:v>-6.1999999999999999E-7</c:v>
                </c:pt>
                <c:pt idx="1401">
                  <c:v>-6.1500000000000004E-7</c:v>
                </c:pt>
                <c:pt idx="1402">
                  <c:v>-6.0999999999999998E-7</c:v>
                </c:pt>
                <c:pt idx="1403">
                  <c:v>-6.0500000000000003E-7</c:v>
                </c:pt>
                <c:pt idx="1404">
                  <c:v>-5.9999999999999997E-7</c:v>
                </c:pt>
                <c:pt idx="1405">
                  <c:v>-5.9500000000000002E-7</c:v>
                </c:pt>
                <c:pt idx="1406">
                  <c:v>-5.8999999999999996E-7</c:v>
                </c:pt>
                <c:pt idx="1407">
                  <c:v>-5.8500000000000001E-7</c:v>
                </c:pt>
                <c:pt idx="1408">
                  <c:v>-5.7999999999999995E-7</c:v>
                </c:pt>
                <c:pt idx="1409">
                  <c:v>-5.75E-7</c:v>
                </c:pt>
                <c:pt idx="1410">
                  <c:v>-5.7000000000000005E-7</c:v>
                </c:pt>
                <c:pt idx="1411">
                  <c:v>-5.6499999999999999E-7</c:v>
                </c:pt>
                <c:pt idx="1412">
                  <c:v>-5.6000000000000004E-7</c:v>
                </c:pt>
                <c:pt idx="1413">
                  <c:v>-5.5499999999999998E-7</c:v>
                </c:pt>
                <c:pt idx="1414">
                  <c:v>-5.5000000000000003E-7</c:v>
                </c:pt>
                <c:pt idx="1415">
                  <c:v>-5.4499999999999997E-7</c:v>
                </c:pt>
                <c:pt idx="1416">
                  <c:v>-5.4000000000000002E-7</c:v>
                </c:pt>
                <c:pt idx="1417">
                  <c:v>-5.3499999999999996E-7</c:v>
                </c:pt>
                <c:pt idx="1418">
                  <c:v>-5.3000000000000001E-7</c:v>
                </c:pt>
                <c:pt idx="1419">
                  <c:v>-5.2499999999999995E-7</c:v>
                </c:pt>
                <c:pt idx="1420">
                  <c:v>-5.2E-7</c:v>
                </c:pt>
                <c:pt idx="1421">
                  <c:v>-5.1500000000000005E-7</c:v>
                </c:pt>
                <c:pt idx="1422">
                  <c:v>-5.0999999999999999E-7</c:v>
                </c:pt>
                <c:pt idx="1423">
                  <c:v>-5.0500000000000004E-7</c:v>
                </c:pt>
                <c:pt idx="1424">
                  <c:v>-4.9999999999999998E-7</c:v>
                </c:pt>
                <c:pt idx="1425">
                  <c:v>-4.9500000000000003E-7</c:v>
                </c:pt>
                <c:pt idx="1426">
                  <c:v>-4.8999999999999997E-7</c:v>
                </c:pt>
                <c:pt idx="1427">
                  <c:v>-4.8500000000000002E-7</c:v>
                </c:pt>
                <c:pt idx="1428">
                  <c:v>-4.7999999999999996E-7</c:v>
                </c:pt>
                <c:pt idx="1429">
                  <c:v>-4.75E-7</c:v>
                </c:pt>
                <c:pt idx="1430">
                  <c:v>-4.7E-7</c:v>
                </c:pt>
                <c:pt idx="1431">
                  <c:v>-4.6499999999999999E-7</c:v>
                </c:pt>
                <c:pt idx="1432">
                  <c:v>-4.5999999999999999E-7</c:v>
                </c:pt>
                <c:pt idx="1433">
                  <c:v>-4.5499999999999998E-7</c:v>
                </c:pt>
                <c:pt idx="1434">
                  <c:v>-4.4999999999999998E-7</c:v>
                </c:pt>
                <c:pt idx="1435">
                  <c:v>-4.4499999999999997E-7</c:v>
                </c:pt>
                <c:pt idx="1436">
                  <c:v>-4.4000000000000002E-7</c:v>
                </c:pt>
                <c:pt idx="1437">
                  <c:v>-4.3500000000000002E-7</c:v>
                </c:pt>
                <c:pt idx="1438">
                  <c:v>-4.3000000000000001E-7</c:v>
                </c:pt>
                <c:pt idx="1439">
                  <c:v>-4.2500000000000001E-7</c:v>
                </c:pt>
                <c:pt idx="1440">
                  <c:v>-4.2E-7</c:v>
                </c:pt>
                <c:pt idx="1441">
                  <c:v>-4.15E-7</c:v>
                </c:pt>
                <c:pt idx="1442">
                  <c:v>-4.0999999999999999E-7</c:v>
                </c:pt>
                <c:pt idx="1443">
                  <c:v>-4.0499999999999999E-7</c:v>
                </c:pt>
                <c:pt idx="1444">
                  <c:v>-3.9999999999999998E-7</c:v>
                </c:pt>
                <c:pt idx="1445">
                  <c:v>-3.9499999999999998E-7</c:v>
                </c:pt>
                <c:pt idx="1446">
                  <c:v>-3.9000000000000002E-7</c:v>
                </c:pt>
                <c:pt idx="1447">
                  <c:v>-3.8500000000000002E-7</c:v>
                </c:pt>
                <c:pt idx="1448">
                  <c:v>-3.8000000000000001E-7</c:v>
                </c:pt>
                <c:pt idx="1449">
                  <c:v>-3.7500000000000001E-7</c:v>
                </c:pt>
                <c:pt idx="1450">
                  <c:v>-3.7E-7</c:v>
                </c:pt>
                <c:pt idx="1451">
                  <c:v>-3.65E-7</c:v>
                </c:pt>
                <c:pt idx="1452">
                  <c:v>-3.5999999999999999E-7</c:v>
                </c:pt>
                <c:pt idx="1453">
                  <c:v>-3.5499999999999999E-7</c:v>
                </c:pt>
                <c:pt idx="1454">
                  <c:v>-3.4999999999999998E-7</c:v>
                </c:pt>
                <c:pt idx="1455">
                  <c:v>-3.4499999999999998E-7</c:v>
                </c:pt>
                <c:pt idx="1456">
                  <c:v>-3.3999999999999997E-7</c:v>
                </c:pt>
                <c:pt idx="1457">
                  <c:v>-3.3500000000000002E-7</c:v>
                </c:pt>
                <c:pt idx="1458">
                  <c:v>-3.3000000000000002E-7</c:v>
                </c:pt>
                <c:pt idx="1459">
                  <c:v>-3.2500000000000001E-7</c:v>
                </c:pt>
                <c:pt idx="1460">
                  <c:v>-3.2000000000000001E-7</c:v>
                </c:pt>
                <c:pt idx="1461">
                  <c:v>-3.15E-7</c:v>
                </c:pt>
                <c:pt idx="1462">
                  <c:v>-3.1E-7</c:v>
                </c:pt>
                <c:pt idx="1463">
                  <c:v>-3.0499999999999999E-7</c:v>
                </c:pt>
                <c:pt idx="1464">
                  <c:v>-2.9999999999999999E-7</c:v>
                </c:pt>
                <c:pt idx="1465">
                  <c:v>-2.9499999999999998E-7</c:v>
                </c:pt>
                <c:pt idx="1466">
                  <c:v>-2.8999999999999998E-7</c:v>
                </c:pt>
                <c:pt idx="1467">
                  <c:v>-2.8500000000000002E-7</c:v>
                </c:pt>
                <c:pt idx="1468">
                  <c:v>-2.8000000000000002E-7</c:v>
                </c:pt>
                <c:pt idx="1469">
                  <c:v>-2.7500000000000001E-7</c:v>
                </c:pt>
                <c:pt idx="1470">
                  <c:v>-2.7000000000000001E-7</c:v>
                </c:pt>
                <c:pt idx="1471">
                  <c:v>-2.65E-7</c:v>
                </c:pt>
                <c:pt idx="1472">
                  <c:v>-2.6E-7</c:v>
                </c:pt>
                <c:pt idx="1473">
                  <c:v>-2.5499999999999999E-7</c:v>
                </c:pt>
                <c:pt idx="1474">
                  <c:v>-2.4999999999999999E-7</c:v>
                </c:pt>
                <c:pt idx="1475">
                  <c:v>-2.4499999999999998E-7</c:v>
                </c:pt>
                <c:pt idx="1476">
                  <c:v>-2.3999999999999998E-7</c:v>
                </c:pt>
                <c:pt idx="1477">
                  <c:v>-2.35E-7</c:v>
                </c:pt>
                <c:pt idx="1478">
                  <c:v>-2.2999999999999999E-7</c:v>
                </c:pt>
                <c:pt idx="1479">
                  <c:v>-2.2499999999999999E-7</c:v>
                </c:pt>
                <c:pt idx="1480">
                  <c:v>-2.2000000000000001E-7</c:v>
                </c:pt>
                <c:pt idx="1481">
                  <c:v>-2.1500000000000001E-7</c:v>
                </c:pt>
                <c:pt idx="1482">
                  <c:v>-2.1E-7</c:v>
                </c:pt>
                <c:pt idx="1483">
                  <c:v>-2.05E-7</c:v>
                </c:pt>
                <c:pt idx="1484">
                  <c:v>-1.9999999999999999E-7</c:v>
                </c:pt>
                <c:pt idx="1485">
                  <c:v>-1.9500000000000001E-7</c:v>
                </c:pt>
                <c:pt idx="1486">
                  <c:v>-1.9000000000000001E-7</c:v>
                </c:pt>
                <c:pt idx="1487">
                  <c:v>-1.85E-7</c:v>
                </c:pt>
                <c:pt idx="1488">
                  <c:v>-1.8E-7</c:v>
                </c:pt>
                <c:pt idx="1489">
                  <c:v>-1.7499999999999999E-7</c:v>
                </c:pt>
                <c:pt idx="1490">
                  <c:v>-1.6999999999999999E-7</c:v>
                </c:pt>
                <c:pt idx="1491">
                  <c:v>-1.6500000000000001E-7</c:v>
                </c:pt>
                <c:pt idx="1492">
                  <c:v>-1.6E-7</c:v>
                </c:pt>
                <c:pt idx="1493">
                  <c:v>-1.55E-7</c:v>
                </c:pt>
                <c:pt idx="1494">
                  <c:v>-1.4999999999999999E-7</c:v>
                </c:pt>
                <c:pt idx="1495">
                  <c:v>-1.4499999999999999E-7</c:v>
                </c:pt>
                <c:pt idx="1496">
                  <c:v>-1.4000000000000001E-7</c:v>
                </c:pt>
                <c:pt idx="1497">
                  <c:v>-1.35E-7</c:v>
                </c:pt>
                <c:pt idx="1498">
                  <c:v>-1.3E-7</c:v>
                </c:pt>
                <c:pt idx="1499">
                  <c:v>-1.2499999999999999E-7</c:v>
                </c:pt>
                <c:pt idx="1500">
                  <c:v>-1.1999999999999999E-7</c:v>
                </c:pt>
                <c:pt idx="1501">
                  <c:v>-1.15E-7</c:v>
                </c:pt>
                <c:pt idx="1502">
                  <c:v>-1.1000000000000001E-7</c:v>
                </c:pt>
                <c:pt idx="1503">
                  <c:v>-1.05E-7</c:v>
                </c:pt>
                <c:pt idx="1504">
                  <c:v>-9.9999999999999995E-8</c:v>
                </c:pt>
                <c:pt idx="1505">
                  <c:v>-9.5000000000000004E-8</c:v>
                </c:pt>
                <c:pt idx="1506">
                  <c:v>-8.9999999999999999E-8</c:v>
                </c:pt>
                <c:pt idx="1507">
                  <c:v>-8.4999999999999994E-8</c:v>
                </c:pt>
                <c:pt idx="1508">
                  <c:v>-8.0000000000000002E-8</c:v>
                </c:pt>
                <c:pt idx="1509">
                  <c:v>-7.4999999999999997E-8</c:v>
                </c:pt>
                <c:pt idx="1510">
                  <c:v>-7.0000000000000005E-8</c:v>
                </c:pt>
                <c:pt idx="1511">
                  <c:v>-6.5E-8</c:v>
                </c:pt>
                <c:pt idx="1512">
                  <c:v>-5.9999999999999995E-8</c:v>
                </c:pt>
                <c:pt idx="1513">
                  <c:v>-5.5000000000000003E-8</c:v>
                </c:pt>
                <c:pt idx="1514">
                  <c:v>-4.9999999999999998E-8</c:v>
                </c:pt>
                <c:pt idx="1515">
                  <c:v>-4.4999999999999999E-8</c:v>
                </c:pt>
                <c:pt idx="1516">
                  <c:v>-4.0000000000000001E-8</c:v>
                </c:pt>
                <c:pt idx="1517">
                  <c:v>-3.5000000000000002E-8</c:v>
                </c:pt>
                <c:pt idx="1518">
                  <c:v>-2.9999999999999997E-8</c:v>
                </c:pt>
                <c:pt idx="1519">
                  <c:v>-2.4999999999999999E-8</c:v>
                </c:pt>
                <c:pt idx="1520">
                  <c:v>-2E-8</c:v>
                </c:pt>
                <c:pt idx="1521">
                  <c:v>-1.4999999999999999E-8</c:v>
                </c:pt>
                <c:pt idx="1522">
                  <c:v>-1E-8</c:v>
                </c:pt>
                <c:pt idx="1523">
                  <c:v>-5.0000000000000001E-9</c:v>
                </c:pt>
                <c:pt idx="1524">
                  <c:v>0</c:v>
                </c:pt>
                <c:pt idx="1525">
                  <c:v>5.0000000000000001E-9</c:v>
                </c:pt>
                <c:pt idx="1526">
                  <c:v>1E-8</c:v>
                </c:pt>
                <c:pt idx="1527">
                  <c:v>1.4999999999999999E-8</c:v>
                </c:pt>
                <c:pt idx="1528">
                  <c:v>2E-8</c:v>
                </c:pt>
                <c:pt idx="1529">
                  <c:v>2.4999999999999999E-8</c:v>
                </c:pt>
                <c:pt idx="1530">
                  <c:v>2.9999999999999997E-8</c:v>
                </c:pt>
                <c:pt idx="1531">
                  <c:v>3.5000000000000002E-8</c:v>
                </c:pt>
                <c:pt idx="1532">
                  <c:v>4.0000000000000001E-8</c:v>
                </c:pt>
                <c:pt idx="1533">
                  <c:v>4.4999999999999999E-8</c:v>
                </c:pt>
                <c:pt idx="1534">
                  <c:v>4.9999999999999998E-8</c:v>
                </c:pt>
                <c:pt idx="1535">
                  <c:v>5.5000000000000003E-8</c:v>
                </c:pt>
                <c:pt idx="1536">
                  <c:v>5.9999999999999995E-8</c:v>
                </c:pt>
                <c:pt idx="1537">
                  <c:v>6.5E-8</c:v>
                </c:pt>
                <c:pt idx="1538">
                  <c:v>7.0000000000000005E-8</c:v>
                </c:pt>
                <c:pt idx="1539">
                  <c:v>7.4999999999999997E-8</c:v>
                </c:pt>
                <c:pt idx="1540">
                  <c:v>8.0000000000000002E-8</c:v>
                </c:pt>
                <c:pt idx="1541">
                  <c:v>8.4999999999999994E-8</c:v>
                </c:pt>
                <c:pt idx="1542">
                  <c:v>8.9999999999999999E-8</c:v>
                </c:pt>
                <c:pt idx="1543">
                  <c:v>9.5000000000000004E-8</c:v>
                </c:pt>
                <c:pt idx="1544">
                  <c:v>9.9999999999999995E-8</c:v>
                </c:pt>
                <c:pt idx="1545">
                  <c:v>1.05E-7</c:v>
                </c:pt>
                <c:pt idx="1546">
                  <c:v>1.1000000000000001E-7</c:v>
                </c:pt>
                <c:pt idx="1547">
                  <c:v>1.15E-7</c:v>
                </c:pt>
                <c:pt idx="1548">
                  <c:v>1.1999999999999999E-7</c:v>
                </c:pt>
                <c:pt idx="1549">
                  <c:v>1.2499999999999999E-7</c:v>
                </c:pt>
                <c:pt idx="1550">
                  <c:v>1.3E-7</c:v>
                </c:pt>
                <c:pt idx="1551">
                  <c:v>1.35E-7</c:v>
                </c:pt>
                <c:pt idx="1552">
                  <c:v>1.4000000000000001E-7</c:v>
                </c:pt>
                <c:pt idx="1553">
                  <c:v>1.4499999999999999E-7</c:v>
                </c:pt>
                <c:pt idx="1554">
                  <c:v>1.4999999999999999E-7</c:v>
                </c:pt>
                <c:pt idx="1555">
                  <c:v>1.55E-7</c:v>
                </c:pt>
                <c:pt idx="1556">
                  <c:v>1.6E-7</c:v>
                </c:pt>
                <c:pt idx="1557">
                  <c:v>1.6500000000000001E-7</c:v>
                </c:pt>
                <c:pt idx="1558">
                  <c:v>1.6999999999999999E-7</c:v>
                </c:pt>
                <c:pt idx="1559">
                  <c:v>1.7499999999999999E-7</c:v>
                </c:pt>
                <c:pt idx="1560">
                  <c:v>1.8E-7</c:v>
                </c:pt>
                <c:pt idx="1561">
                  <c:v>1.85E-7</c:v>
                </c:pt>
                <c:pt idx="1562">
                  <c:v>1.9000000000000001E-7</c:v>
                </c:pt>
                <c:pt idx="1563">
                  <c:v>1.9500000000000001E-7</c:v>
                </c:pt>
                <c:pt idx="1564">
                  <c:v>1.9999999999999999E-7</c:v>
                </c:pt>
                <c:pt idx="1565">
                  <c:v>2.05E-7</c:v>
                </c:pt>
                <c:pt idx="1566">
                  <c:v>2.1E-7</c:v>
                </c:pt>
                <c:pt idx="1567">
                  <c:v>2.1500000000000001E-7</c:v>
                </c:pt>
                <c:pt idx="1568">
                  <c:v>2.2000000000000001E-7</c:v>
                </c:pt>
                <c:pt idx="1569">
                  <c:v>2.2499999999999999E-7</c:v>
                </c:pt>
                <c:pt idx="1570">
                  <c:v>2.2999999999999999E-7</c:v>
                </c:pt>
                <c:pt idx="1571">
                  <c:v>2.35E-7</c:v>
                </c:pt>
                <c:pt idx="1572">
                  <c:v>2.3999999999999998E-7</c:v>
                </c:pt>
                <c:pt idx="1573">
                  <c:v>2.4499999999999998E-7</c:v>
                </c:pt>
                <c:pt idx="1574">
                  <c:v>2.4999999999999999E-7</c:v>
                </c:pt>
                <c:pt idx="1575">
                  <c:v>2.5499999999999999E-7</c:v>
                </c:pt>
                <c:pt idx="1576">
                  <c:v>2.6E-7</c:v>
                </c:pt>
                <c:pt idx="1577">
                  <c:v>2.65E-7</c:v>
                </c:pt>
                <c:pt idx="1578">
                  <c:v>2.7000000000000001E-7</c:v>
                </c:pt>
                <c:pt idx="1579">
                  <c:v>2.7500000000000001E-7</c:v>
                </c:pt>
                <c:pt idx="1580">
                  <c:v>2.8000000000000002E-7</c:v>
                </c:pt>
                <c:pt idx="1581">
                  <c:v>2.8500000000000002E-7</c:v>
                </c:pt>
                <c:pt idx="1582">
                  <c:v>2.8999999999999998E-7</c:v>
                </c:pt>
                <c:pt idx="1583">
                  <c:v>2.9499999999999998E-7</c:v>
                </c:pt>
                <c:pt idx="1584">
                  <c:v>2.9999999999999999E-7</c:v>
                </c:pt>
                <c:pt idx="1585">
                  <c:v>3.0499999999999999E-7</c:v>
                </c:pt>
                <c:pt idx="1586">
                  <c:v>3.1E-7</c:v>
                </c:pt>
                <c:pt idx="1587">
                  <c:v>3.15E-7</c:v>
                </c:pt>
                <c:pt idx="1588">
                  <c:v>3.2000000000000001E-7</c:v>
                </c:pt>
                <c:pt idx="1589">
                  <c:v>3.2500000000000001E-7</c:v>
                </c:pt>
                <c:pt idx="1590">
                  <c:v>3.3000000000000002E-7</c:v>
                </c:pt>
                <c:pt idx="1591">
                  <c:v>3.3500000000000002E-7</c:v>
                </c:pt>
                <c:pt idx="1592">
                  <c:v>3.3999999999999997E-7</c:v>
                </c:pt>
                <c:pt idx="1593">
                  <c:v>3.4499999999999998E-7</c:v>
                </c:pt>
                <c:pt idx="1594">
                  <c:v>3.4999999999999998E-7</c:v>
                </c:pt>
                <c:pt idx="1595">
                  <c:v>3.5499999999999999E-7</c:v>
                </c:pt>
                <c:pt idx="1596">
                  <c:v>3.5999999999999999E-7</c:v>
                </c:pt>
                <c:pt idx="1597">
                  <c:v>3.65E-7</c:v>
                </c:pt>
                <c:pt idx="1598">
                  <c:v>3.7E-7</c:v>
                </c:pt>
                <c:pt idx="1599">
                  <c:v>3.7500000000000001E-7</c:v>
                </c:pt>
                <c:pt idx="1600">
                  <c:v>3.8000000000000001E-7</c:v>
                </c:pt>
                <c:pt idx="1601">
                  <c:v>3.8500000000000002E-7</c:v>
                </c:pt>
                <c:pt idx="1602">
                  <c:v>3.9000000000000002E-7</c:v>
                </c:pt>
                <c:pt idx="1603">
                  <c:v>3.9499999999999998E-7</c:v>
                </c:pt>
                <c:pt idx="1604">
                  <c:v>3.9999999999999998E-7</c:v>
                </c:pt>
                <c:pt idx="1605">
                  <c:v>4.0499999999999999E-7</c:v>
                </c:pt>
                <c:pt idx="1606">
                  <c:v>4.0999999999999999E-7</c:v>
                </c:pt>
                <c:pt idx="1607">
                  <c:v>4.15E-7</c:v>
                </c:pt>
                <c:pt idx="1608">
                  <c:v>4.2E-7</c:v>
                </c:pt>
                <c:pt idx="1609">
                  <c:v>4.2500000000000001E-7</c:v>
                </c:pt>
                <c:pt idx="1610">
                  <c:v>4.3000000000000001E-7</c:v>
                </c:pt>
                <c:pt idx="1611">
                  <c:v>4.3500000000000002E-7</c:v>
                </c:pt>
                <c:pt idx="1612">
                  <c:v>4.4000000000000002E-7</c:v>
                </c:pt>
                <c:pt idx="1613">
                  <c:v>4.4499999999999997E-7</c:v>
                </c:pt>
                <c:pt idx="1614">
                  <c:v>4.4999999999999998E-7</c:v>
                </c:pt>
                <c:pt idx="1615">
                  <c:v>4.5499999999999998E-7</c:v>
                </c:pt>
                <c:pt idx="1616">
                  <c:v>4.5999999999999999E-7</c:v>
                </c:pt>
                <c:pt idx="1617">
                  <c:v>4.6499999999999999E-7</c:v>
                </c:pt>
                <c:pt idx="1618">
                  <c:v>4.7E-7</c:v>
                </c:pt>
                <c:pt idx="1619">
                  <c:v>4.75E-7</c:v>
                </c:pt>
                <c:pt idx="1620">
                  <c:v>4.7999999999999996E-7</c:v>
                </c:pt>
                <c:pt idx="1621">
                  <c:v>4.8500000000000002E-7</c:v>
                </c:pt>
                <c:pt idx="1622">
                  <c:v>4.8999999999999997E-7</c:v>
                </c:pt>
                <c:pt idx="1623">
                  <c:v>4.9500000000000003E-7</c:v>
                </c:pt>
                <c:pt idx="1624">
                  <c:v>4.9999999999999998E-7</c:v>
                </c:pt>
                <c:pt idx="1625">
                  <c:v>5.0500000000000004E-7</c:v>
                </c:pt>
                <c:pt idx="1626">
                  <c:v>5.0999999999999999E-7</c:v>
                </c:pt>
                <c:pt idx="1627">
                  <c:v>5.1500000000000005E-7</c:v>
                </c:pt>
                <c:pt idx="1628">
                  <c:v>5.2E-7</c:v>
                </c:pt>
                <c:pt idx="1629">
                  <c:v>5.2499999999999995E-7</c:v>
                </c:pt>
                <c:pt idx="1630">
                  <c:v>5.3000000000000001E-7</c:v>
                </c:pt>
                <c:pt idx="1631">
                  <c:v>5.3499999999999996E-7</c:v>
                </c:pt>
                <c:pt idx="1632">
                  <c:v>5.4000000000000002E-7</c:v>
                </c:pt>
                <c:pt idx="1633">
                  <c:v>5.4499999999999997E-7</c:v>
                </c:pt>
                <c:pt idx="1634">
                  <c:v>5.5000000000000003E-7</c:v>
                </c:pt>
                <c:pt idx="1635">
                  <c:v>5.5499999999999998E-7</c:v>
                </c:pt>
                <c:pt idx="1636">
                  <c:v>5.6000000000000004E-7</c:v>
                </c:pt>
                <c:pt idx="1637">
                  <c:v>5.6499999999999999E-7</c:v>
                </c:pt>
                <c:pt idx="1638">
                  <c:v>5.7000000000000005E-7</c:v>
                </c:pt>
                <c:pt idx="1639">
                  <c:v>5.75E-7</c:v>
                </c:pt>
                <c:pt idx="1640">
                  <c:v>5.7999999999999995E-7</c:v>
                </c:pt>
                <c:pt idx="1641">
                  <c:v>5.8500000000000001E-7</c:v>
                </c:pt>
                <c:pt idx="1642">
                  <c:v>5.8999999999999996E-7</c:v>
                </c:pt>
                <c:pt idx="1643">
                  <c:v>5.9500000000000002E-7</c:v>
                </c:pt>
                <c:pt idx="1644">
                  <c:v>5.9999999999999997E-7</c:v>
                </c:pt>
                <c:pt idx="1645">
                  <c:v>6.0500000000000003E-7</c:v>
                </c:pt>
                <c:pt idx="1646">
                  <c:v>6.0999999999999998E-7</c:v>
                </c:pt>
                <c:pt idx="1647">
                  <c:v>6.1500000000000004E-7</c:v>
                </c:pt>
                <c:pt idx="1648">
                  <c:v>6.1999999999999999E-7</c:v>
                </c:pt>
                <c:pt idx="1649">
                  <c:v>6.2500000000000005E-7</c:v>
                </c:pt>
                <c:pt idx="1650">
                  <c:v>6.3E-7</c:v>
                </c:pt>
                <c:pt idx="1651">
                  <c:v>6.3499999999999996E-7</c:v>
                </c:pt>
                <c:pt idx="1652">
                  <c:v>6.4000000000000001E-7</c:v>
                </c:pt>
                <c:pt idx="1653">
                  <c:v>6.4499999999999997E-7</c:v>
                </c:pt>
                <c:pt idx="1654">
                  <c:v>6.5000000000000002E-7</c:v>
                </c:pt>
                <c:pt idx="1655">
                  <c:v>6.5499999999999998E-7</c:v>
                </c:pt>
                <c:pt idx="1656">
                  <c:v>6.6000000000000003E-7</c:v>
                </c:pt>
                <c:pt idx="1657">
                  <c:v>6.6499999999999999E-7</c:v>
                </c:pt>
                <c:pt idx="1658">
                  <c:v>6.7000000000000004E-7</c:v>
                </c:pt>
                <c:pt idx="1659">
                  <c:v>6.75E-7</c:v>
                </c:pt>
                <c:pt idx="1660">
                  <c:v>6.7999999999999995E-7</c:v>
                </c:pt>
                <c:pt idx="1661">
                  <c:v>6.8500000000000001E-7</c:v>
                </c:pt>
                <c:pt idx="1662">
                  <c:v>6.8999999999999996E-7</c:v>
                </c:pt>
                <c:pt idx="1663">
                  <c:v>6.9500000000000002E-7</c:v>
                </c:pt>
                <c:pt idx="1664">
                  <c:v>6.9999999999999997E-7</c:v>
                </c:pt>
                <c:pt idx="1665">
                  <c:v>7.0500000000000003E-7</c:v>
                </c:pt>
                <c:pt idx="1666">
                  <c:v>7.0999999999999998E-7</c:v>
                </c:pt>
                <c:pt idx="1667">
                  <c:v>7.1500000000000004E-7</c:v>
                </c:pt>
                <c:pt idx="1668">
                  <c:v>7.1999999999999999E-7</c:v>
                </c:pt>
                <c:pt idx="1669">
                  <c:v>7.2500000000000005E-7</c:v>
                </c:pt>
                <c:pt idx="1670">
                  <c:v>7.3E-7</c:v>
                </c:pt>
                <c:pt idx="1671">
                  <c:v>7.3499999999999995E-7</c:v>
                </c:pt>
                <c:pt idx="1672">
                  <c:v>7.4000000000000001E-7</c:v>
                </c:pt>
                <c:pt idx="1673">
                  <c:v>7.4499999999999996E-7</c:v>
                </c:pt>
                <c:pt idx="1674">
                  <c:v>7.5000000000000002E-7</c:v>
                </c:pt>
                <c:pt idx="1675">
                  <c:v>7.5499999999999997E-7</c:v>
                </c:pt>
                <c:pt idx="1676">
                  <c:v>7.6000000000000003E-7</c:v>
                </c:pt>
                <c:pt idx="1677">
                  <c:v>7.6499999999999998E-7</c:v>
                </c:pt>
                <c:pt idx="1678">
                  <c:v>7.7000000000000004E-7</c:v>
                </c:pt>
                <c:pt idx="1679">
                  <c:v>7.7499999999999999E-7</c:v>
                </c:pt>
                <c:pt idx="1680">
                  <c:v>7.8000000000000005E-7</c:v>
                </c:pt>
                <c:pt idx="1681">
                  <c:v>7.85E-7</c:v>
                </c:pt>
                <c:pt idx="1682">
                  <c:v>7.8999999999999995E-7</c:v>
                </c:pt>
                <c:pt idx="1683">
                  <c:v>7.9500000000000001E-7</c:v>
                </c:pt>
                <c:pt idx="1684">
                  <c:v>7.9999999999999996E-7</c:v>
                </c:pt>
                <c:pt idx="1685">
                  <c:v>8.0500000000000002E-7</c:v>
                </c:pt>
                <c:pt idx="1686">
                  <c:v>8.0999999999999997E-7</c:v>
                </c:pt>
                <c:pt idx="1687">
                  <c:v>8.1500000000000003E-7</c:v>
                </c:pt>
                <c:pt idx="1688">
                  <c:v>8.1999999999999998E-7</c:v>
                </c:pt>
                <c:pt idx="1689">
                  <c:v>8.2500000000000004E-7</c:v>
                </c:pt>
                <c:pt idx="1690">
                  <c:v>8.2999999999999999E-7</c:v>
                </c:pt>
                <c:pt idx="1691">
                  <c:v>8.3500000000000005E-7</c:v>
                </c:pt>
                <c:pt idx="1692">
                  <c:v>8.4E-7</c:v>
                </c:pt>
                <c:pt idx="1693">
                  <c:v>8.4499999999999996E-7</c:v>
                </c:pt>
                <c:pt idx="1694">
                  <c:v>8.5000000000000001E-7</c:v>
                </c:pt>
                <c:pt idx="1695">
                  <c:v>8.5499999999999997E-7</c:v>
                </c:pt>
                <c:pt idx="1696">
                  <c:v>8.6000000000000002E-7</c:v>
                </c:pt>
                <c:pt idx="1697">
                  <c:v>8.6499999999999998E-7</c:v>
                </c:pt>
                <c:pt idx="1698">
                  <c:v>8.7000000000000003E-7</c:v>
                </c:pt>
                <c:pt idx="1699">
                  <c:v>8.7499999999999999E-7</c:v>
                </c:pt>
                <c:pt idx="1700">
                  <c:v>8.8000000000000004E-7</c:v>
                </c:pt>
                <c:pt idx="1701">
                  <c:v>8.85E-7</c:v>
                </c:pt>
                <c:pt idx="1702">
                  <c:v>8.8999999999999995E-7</c:v>
                </c:pt>
                <c:pt idx="1703">
                  <c:v>8.9500000000000001E-7</c:v>
                </c:pt>
                <c:pt idx="1704">
                  <c:v>8.9999999999999996E-7</c:v>
                </c:pt>
                <c:pt idx="1705">
                  <c:v>9.0500000000000002E-7</c:v>
                </c:pt>
                <c:pt idx="1706">
                  <c:v>9.0999999999999997E-7</c:v>
                </c:pt>
                <c:pt idx="1707">
                  <c:v>9.1500000000000003E-7</c:v>
                </c:pt>
                <c:pt idx="1708">
                  <c:v>9.1999999999999998E-7</c:v>
                </c:pt>
                <c:pt idx="1709">
                  <c:v>9.2500000000000004E-7</c:v>
                </c:pt>
                <c:pt idx="1710">
                  <c:v>9.2999999999999999E-7</c:v>
                </c:pt>
                <c:pt idx="1711">
                  <c:v>9.3500000000000005E-7</c:v>
                </c:pt>
                <c:pt idx="1712">
                  <c:v>9.4E-7</c:v>
                </c:pt>
                <c:pt idx="1713">
                  <c:v>9.4499999999999995E-7</c:v>
                </c:pt>
                <c:pt idx="1714">
                  <c:v>9.5000000000000001E-7</c:v>
                </c:pt>
                <c:pt idx="1715">
                  <c:v>9.5499999999999996E-7</c:v>
                </c:pt>
                <c:pt idx="1716">
                  <c:v>9.5999999999999991E-7</c:v>
                </c:pt>
                <c:pt idx="1717">
                  <c:v>9.6500000000000008E-7</c:v>
                </c:pt>
                <c:pt idx="1718">
                  <c:v>9.7000000000000003E-7</c:v>
                </c:pt>
                <c:pt idx="1719">
                  <c:v>9.7499999999999998E-7</c:v>
                </c:pt>
                <c:pt idx="1720">
                  <c:v>9.7999999999999993E-7</c:v>
                </c:pt>
                <c:pt idx="1721">
                  <c:v>9.850000000000001E-7</c:v>
                </c:pt>
                <c:pt idx="1722">
                  <c:v>9.9000000000000005E-7</c:v>
                </c:pt>
                <c:pt idx="1723">
                  <c:v>9.95E-7</c:v>
                </c:pt>
                <c:pt idx="1724">
                  <c:v>9.9999999999999995E-7</c:v>
                </c:pt>
                <c:pt idx="1725">
                  <c:v>1.0049999999999999E-6</c:v>
                </c:pt>
                <c:pt idx="1726">
                  <c:v>1.0100000000000001E-6</c:v>
                </c:pt>
                <c:pt idx="1727">
                  <c:v>1.015E-6</c:v>
                </c:pt>
                <c:pt idx="1728">
                  <c:v>1.02E-6</c:v>
                </c:pt>
                <c:pt idx="1729">
                  <c:v>1.0249999999999999E-6</c:v>
                </c:pt>
                <c:pt idx="1730">
                  <c:v>1.0300000000000001E-6</c:v>
                </c:pt>
                <c:pt idx="1731">
                  <c:v>1.035E-6</c:v>
                </c:pt>
                <c:pt idx="1732">
                  <c:v>1.04E-6</c:v>
                </c:pt>
                <c:pt idx="1733">
                  <c:v>1.0449999999999999E-6</c:v>
                </c:pt>
                <c:pt idx="1734">
                  <c:v>1.0499999999999999E-6</c:v>
                </c:pt>
                <c:pt idx="1735">
                  <c:v>1.0550000000000001E-6</c:v>
                </c:pt>
                <c:pt idx="1736">
                  <c:v>1.06E-6</c:v>
                </c:pt>
                <c:pt idx="1737">
                  <c:v>1.065E-6</c:v>
                </c:pt>
                <c:pt idx="1738">
                  <c:v>1.0699999999999999E-6</c:v>
                </c:pt>
                <c:pt idx="1739">
                  <c:v>1.0750000000000001E-6</c:v>
                </c:pt>
                <c:pt idx="1740">
                  <c:v>1.08E-6</c:v>
                </c:pt>
                <c:pt idx="1741">
                  <c:v>1.085E-6</c:v>
                </c:pt>
                <c:pt idx="1742">
                  <c:v>1.0899999999999999E-6</c:v>
                </c:pt>
                <c:pt idx="1743">
                  <c:v>1.0950000000000001E-6</c:v>
                </c:pt>
                <c:pt idx="1744">
                  <c:v>1.1000000000000001E-6</c:v>
                </c:pt>
                <c:pt idx="1745">
                  <c:v>1.105E-6</c:v>
                </c:pt>
                <c:pt idx="1746">
                  <c:v>1.11E-6</c:v>
                </c:pt>
                <c:pt idx="1747">
                  <c:v>1.1149999999999999E-6</c:v>
                </c:pt>
                <c:pt idx="1748">
                  <c:v>1.1200000000000001E-6</c:v>
                </c:pt>
                <c:pt idx="1749">
                  <c:v>1.125E-6</c:v>
                </c:pt>
                <c:pt idx="1750">
                  <c:v>1.13E-6</c:v>
                </c:pt>
                <c:pt idx="1751">
                  <c:v>1.1349999999999999E-6</c:v>
                </c:pt>
                <c:pt idx="1752">
                  <c:v>1.1400000000000001E-6</c:v>
                </c:pt>
                <c:pt idx="1753">
                  <c:v>1.145E-6</c:v>
                </c:pt>
                <c:pt idx="1754">
                  <c:v>1.15E-6</c:v>
                </c:pt>
                <c:pt idx="1755">
                  <c:v>1.155E-6</c:v>
                </c:pt>
                <c:pt idx="1756">
                  <c:v>1.1599999999999999E-6</c:v>
                </c:pt>
                <c:pt idx="1757">
                  <c:v>1.1650000000000001E-6</c:v>
                </c:pt>
                <c:pt idx="1758">
                  <c:v>1.17E-6</c:v>
                </c:pt>
                <c:pt idx="1759">
                  <c:v>1.175E-6</c:v>
                </c:pt>
                <c:pt idx="1760">
                  <c:v>1.1799999999999999E-6</c:v>
                </c:pt>
                <c:pt idx="1761">
                  <c:v>1.1850000000000001E-6</c:v>
                </c:pt>
                <c:pt idx="1762">
                  <c:v>1.19E-6</c:v>
                </c:pt>
                <c:pt idx="1763">
                  <c:v>1.195E-6</c:v>
                </c:pt>
                <c:pt idx="1764">
                  <c:v>1.1999999999999999E-6</c:v>
                </c:pt>
                <c:pt idx="1765">
                  <c:v>1.2049999999999999E-6</c:v>
                </c:pt>
                <c:pt idx="1766">
                  <c:v>1.2100000000000001E-6</c:v>
                </c:pt>
                <c:pt idx="1767">
                  <c:v>1.215E-6</c:v>
                </c:pt>
                <c:pt idx="1768">
                  <c:v>1.22E-6</c:v>
                </c:pt>
                <c:pt idx="1769">
                  <c:v>1.2249999999999999E-6</c:v>
                </c:pt>
                <c:pt idx="1770">
                  <c:v>1.2300000000000001E-6</c:v>
                </c:pt>
                <c:pt idx="1771">
                  <c:v>1.235E-6</c:v>
                </c:pt>
                <c:pt idx="1772">
                  <c:v>1.24E-6</c:v>
                </c:pt>
                <c:pt idx="1773">
                  <c:v>1.2449999999999999E-6</c:v>
                </c:pt>
                <c:pt idx="1774">
                  <c:v>1.2500000000000001E-6</c:v>
                </c:pt>
                <c:pt idx="1775">
                  <c:v>1.2550000000000001E-6</c:v>
                </c:pt>
                <c:pt idx="1776">
                  <c:v>1.26E-6</c:v>
                </c:pt>
                <c:pt idx="1777">
                  <c:v>1.265E-6</c:v>
                </c:pt>
                <c:pt idx="1778">
                  <c:v>1.2699999999999999E-6</c:v>
                </c:pt>
                <c:pt idx="1779">
                  <c:v>1.2750000000000001E-6</c:v>
                </c:pt>
                <c:pt idx="1780">
                  <c:v>1.28E-6</c:v>
                </c:pt>
                <c:pt idx="1781">
                  <c:v>1.285E-6</c:v>
                </c:pt>
                <c:pt idx="1782">
                  <c:v>1.2899999999999999E-6</c:v>
                </c:pt>
                <c:pt idx="1783">
                  <c:v>1.2950000000000001E-6</c:v>
                </c:pt>
                <c:pt idx="1784">
                  <c:v>1.3E-6</c:v>
                </c:pt>
                <c:pt idx="1785">
                  <c:v>1.305E-6</c:v>
                </c:pt>
                <c:pt idx="1786">
                  <c:v>1.31E-6</c:v>
                </c:pt>
                <c:pt idx="1787">
                  <c:v>1.3149999999999999E-6</c:v>
                </c:pt>
                <c:pt idx="1788">
                  <c:v>1.3200000000000001E-6</c:v>
                </c:pt>
                <c:pt idx="1789">
                  <c:v>1.325E-6</c:v>
                </c:pt>
                <c:pt idx="1790">
                  <c:v>1.33E-6</c:v>
                </c:pt>
                <c:pt idx="1791">
                  <c:v>1.3349999999999999E-6</c:v>
                </c:pt>
                <c:pt idx="1792">
                  <c:v>1.3400000000000001E-6</c:v>
                </c:pt>
                <c:pt idx="1793">
                  <c:v>1.345E-6</c:v>
                </c:pt>
                <c:pt idx="1794">
                  <c:v>1.35E-6</c:v>
                </c:pt>
                <c:pt idx="1795">
                  <c:v>1.3549999999999999E-6</c:v>
                </c:pt>
                <c:pt idx="1796">
                  <c:v>1.3599999999999999E-6</c:v>
                </c:pt>
                <c:pt idx="1797">
                  <c:v>1.3650000000000001E-6</c:v>
                </c:pt>
                <c:pt idx="1798">
                  <c:v>1.37E-6</c:v>
                </c:pt>
                <c:pt idx="1799">
                  <c:v>1.375E-6</c:v>
                </c:pt>
                <c:pt idx="1800">
                  <c:v>1.3799999999999999E-6</c:v>
                </c:pt>
                <c:pt idx="1801">
                  <c:v>1.3850000000000001E-6</c:v>
                </c:pt>
                <c:pt idx="1802">
                  <c:v>1.39E-6</c:v>
                </c:pt>
                <c:pt idx="1803">
                  <c:v>1.395E-6</c:v>
                </c:pt>
                <c:pt idx="1804">
                  <c:v>1.3999999999999999E-6</c:v>
                </c:pt>
                <c:pt idx="1805">
                  <c:v>1.4050000000000001E-6</c:v>
                </c:pt>
                <c:pt idx="1806">
                  <c:v>1.4100000000000001E-6</c:v>
                </c:pt>
                <c:pt idx="1807">
                  <c:v>1.415E-6</c:v>
                </c:pt>
                <c:pt idx="1808">
                  <c:v>1.42E-6</c:v>
                </c:pt>
                <c:pt idx="1809">
                  <c:v>1.4249999999999999E-6</c:v>
                </c:pt>
                <c:pt idx="1810">
                  <c:v>1.4300000000000001E-6</c:v>
                </c:pt>
                <c:pt idx="1811">
                  <c:v>1.435E-6</c:v>
                </c:pt>
                <c:pt idx="1812">
                  <c:v>1.44E-6</c:v>
                </c:pt>
                <c:pt idx="1813">
                  <c:v>1.4449999999999999E-6</c:v>
                </c:pt>
                <c:pt idx="1814">
                  <c:v>1.4500000000000001E-6</c:v>
                </c:pt>
                <c:pt idx="1815">
                  <c:v>1.455E-6</c:v>
                </c:pt>
                <c:pt idx="1816">
                  <c:v>1.46E-6</c:v>
                </c:pt>
                <c:pt idx="1817">
                  <c:v>1.4649999999999999E-6</c:v>
                </c:pt>
                <c:pt idx="1818">
                  <c:v>1.4699999999999999E-6</c:v>
                </c:pt>
                <c:pt idx="1819">
                  <c:v>1.4750000000000001E-6</c:v>
                </c:pt>
                <c:pt idx="1820">
                  <c:v>1.48E-6</c:v>
                </c:pt>
                <c:pt idx="1821">
                  <c:v>1.485E-6</c:v>
                </c:pt>
                <c:pt idx="1822">
                  <c:v>1.4899999999999999E-6</c:v>
                </c:pt>
                <c:pt idx="1823">
                  <c:v>1.4950000000000001E-6</c:v>
                </c:pt>
                <c:pt idx="1824">
                  <c:v>1.5E-6</c:v>
                </c:pt>
                <c:pt idx="1825">
                  <c:v>1.505E-6</c:v>
                </c:pt>
                <c:pt idx="1826">
                  <c:v>1.5099999999999999E-6</c:v>
                </c:pt>
                <c:pt idx="1827">
                  <c:v>1.5149999999999999E-6</c:v>
                </c:pt>
                <c:pt idx="1828">
                  <c:v>1.5200000000000001E-6</c:v>
                </c:pt>
                <c:pt idx="1829">
                  <c:v>1.525E-6</c:v>
                </c:pt>
                <c:pt idx="1830">
                  <c:v>1.53E-6</c:v>
                </c:pt>
                <c:pt idx="1831">
                  <c:v>1.5349999999999999E-6</c:v>
                </c:pt>
                <c:pt idx="1832">
                  <c:v>1.5400000000000001E-6</c:v>
                </c:pt>
                <c:pt idx="1833">
                  <c:v>1.545E-6</c:v>
                </c:pt>
                <c:pt idx="1834">
                  <c:v>1.55E-6</c:v>
                </c:pt>
                <c:pt idx="1835">
                  <c:v>1.5549999999999999E-6</c:v>
                </c:pt>
                <c:pt idx="1836">
                  <c:v>1.5600000000000001E-6</c:v>
                </c:pt>
                <c:pt idx="1837">
                  <c:v>1.5650000000000001E-6</c:v>
                </c:pt>
                <c:pt idx="1838">
                  <c:v>1.57E-6</c:v>
                </c:pt>
                <c:pt idx="1839">
                  <c:v>1.575E-6</c:v>
                </c:pt>
                <c:pt idx="1840">
                  <c:v>1.5799999999999999E-6</c:v>
                </c:pt>
                <c:pt idx="1841">
                  <c:v>1.5850000000000001E-6</c:v>
                </c:pt>
                <c:pt idx="1842">
                  <c:v>1.59E-6</c:v>
                </c:pt>
                <c:pt idx="1843">
                  <c:v>1.595E-6</c:v>
                </c:pt>
                <c:pt idx="1844">
                  <c:v>1.5999999999999999E-6</c:v>
                </c:pt>
                <c:pt idx="1845">
                  <c:v>1.6050000000000001E-6</c:v>
                </c:pt>
                <c:pt idx="1846">
                  <c:v>1.61E-6</c:v>
                </c:pt>
                <c:pt idx="1847">
                  <c:v>1.615E-6</c:v>
                </c:pt>
                <c:pt idx="1848">
                  <c:v>1.6199999999999999E-6</c:v>
                </c:pt>
                <c:pt idx="1849">
                  <c:v>1.6249999999999999E-6</c:v>
                </c:pt>
                <c:pt idx="1850">
                  <c:v>1.6300000000000001E-6</c:v>
                </c:pt>
                <c:pt idx="1851">
                  <c:v>1.635E-6</c:v>
                </c:pt>
                <c:pt idx="1852">
                  <c:v>1.64E-6</c:v>
                </c:pt>
                <c:pt idx="1853">
                  <c:v>1.6449999999999999E-6</c:v>
                </c:pt>
                <c:pt idx="1854">
                  <c:v>1.6500000000000001E-6</c:v>
                </c:pt>
                <c:pt idx="1855">
                  <c:v>1.655E-6</c:v>
                </c:pt>
                <c:pt idx="1856">
                  <c:v>1.66E-6</c:v>
                </c:pt>
                <c:pt idx="1857">
                  <c:v>1.6649999999999999E-6</c:v>
                </c:pt>
                <c:pt idx="1858">
                  <c:v>1.6700000000000001E-6</c:v>
                </c:pt>
                <c:pt idx="1859">
                  <c:v>1.6750000000000001E-6</c:v>
                </c:pt>
                <c:pt idx="1860">
                  <c:v>1.68E-6</c:v>
                </c:pt>
                <c:pt idx="1861">
                  <c:v>1.685E-6</c:v>
                </c:pt>
                <c:pt idx="1862">
                  <c:v>1.6899999999999999E-6</c:v>
                </c:pt>
                <c:pt idx="1863">
                  <c:v>1.6950000000000001E-6</c:v>
                </c:pt>
                <c:pt idx="1864">
                  <c:v>1.7E-6</c:v>
                </c:pt>
                <c:pt idx="1865">
                  <c:v>1.705E-6</c:v>
                </c:pt>
                <c:pt idx="1866">
                  <c:v>1.7099999999999999E-6</c:v>
                </c:pt>
                <c:pt idx="1867">
                  <c:v>1.7150000000000001E-6</c:v>
                </c:pt>
                <c:pt idx="1868">
                  <c:v>1.72E-6</c:v>
                </c:pt>
                <c:pt idx="1869">
                  <c:v>1.725E-6</c:v>
                </c:pt>
                <c:pt idx="1870">
                  <c:v>1.73E-6</c:v>
                </c:pt>
                <c:pt idx="1871">
                  <c:v>1.7349999999999999E-6</c:v>
                </c:pt>
                <c:pt idx="1872">
                  <c:v>1.7400000000000001E-6</c:v>
                </c:pt>
                <c:pt idx="1873">
                  <c:v>1.745E-6</c:v>
                </c:pt>
                <c:pt idx="1874">
                  <c:v>1.75E-6</c:v>
                </c:pt>
                <c:pt idx="1875">
                  <c:v>1.7549999999999999E-6</c:v>
                </c:pt>
                <c:pt idx="1876">
                  <c:v>1.7600000000000001E-6</c:v>
                </c:pt>
                <c:pt idx="1877">
                  <c:v>1.765E-6</c:v>
                </c:pt>
                <c:pt idx="1878">
                  <c:v>1.77E-6</c:v>
                </c:pt>
                <c:pt idx="1879">
                  <c:v>1.7749999999999999E-6</c:v>
                </c:pt>
                <c:pt idx="1880">
                  <c:v>1.7799999999999999E-6</c:v>
                </c:pt>
                <c:pt idx="1881">
                  <c:v>1.7850000000000001E-6</c:v>
                </c:pt>
                <c:pt idx="1882">
                  <c:v>1.79E-6</c:v>
                </c:pt>
                <c:pt idx="1883">
                  <c:v>1.795E-6</c:v>
                </c:pt>
                <c:pt idx="1884">
                  <c:v>1.7999999999999999E-6</c:v>
                </c:pt>
                <c:pt idx="1885">
                  <c:v>1.8050000000000001E-6</c:v>
                </c:pt>
                <c:pt idx="1886">
                  <c:v>1.81E-6</c:v>
                </c:pt>
                <c:pt idx="1887">
                  <c:v>1.815E-6</c:v>
                </c:pt>
                <c:pt idx="1888">
                  <c:v>1.8199999999999999E-6</c:v>
                </c:pt>
                <c:pt idx="1889">
                  <c:v>1.8250000000000001E-6</c:v>
                </c:pt>
                <c:pt idx="1890">
                  <c:v>1.8300000000000001E-6</c:v>
                </c:pt>
                <c:pt idx="1891">
                  <c:v>1.835E-6</c:v>
                </c:pt>
                <c:pt idx="1892">
                  <c:v>1.84E-6</c:v>
                </c:pt>
                <c:pt idx="1893">
                  <c:v>1.8449999999999999E-6</c:v>
                </c:pt>
                <c:pt idx="1894">
                  <c:v>1.8500000000000001E-6</c:v>
                </c:pt>
                <c:pt idx="1895">
                  <c:v>1.855E-6</c:v>
                </c:pt>
                <c:pt idx="1896">
                  <c:v>1.86E-6</c:v>
                </c:pt>
                <c:pt idx="1897">
                  <c:v>1.8649999999999999E-6</c:v>
                </c:pt>
                <c:pt idx="1898">
                  <c:v>1.8700000000000001E-6</c:v>
                </c:pt>
                <c:pt idx="1899">
                  <c:v>1.875E-6</c:v>
                </c:pt>
                <c:pt idx="1900">
                  <c:v>1.88E-6</c:v>
                </c:pt>
                <c:pt idx="1901">
                  <c:v>1.885E-6</c:v>
                </c:pt>
                <c:pt idx="1902">
                  <c:v>1.8899999999999999E-6</c:v>
                </c:pt>
                <c:pt idx="1903">
                  <c:v>1.8950000000000001E-6</c:v>
                </c:pt>
                <c:pt idx="1904">
                  <c:v>1.9E-6</c:v>
                </c:pt>
                <c:pt idx="1905">
                  <c:v>1.905E-6</c:v>
                </c:pt>
                <c:pt idx="1906">
                  <c:v>1.9099999999999999E-6</c:v>
                </c:pt>
                <c:pt idx="1907">
                  <c:v>1.9149999999999999E-6</c:v>
                </c:pt>
                <c:pt idx="1908">
                  <c:v>1.9199999999999998E-6</c:v>
                </c:pt>
                <c:pt idx="1909">
                  <c:v>1.9250000000000002E-6</c:v>
                </c:pt>
                <c:pt idx="1910">
                  <c:v>1.9300000000000002E-6</c:v>
                </c:pt>
                <c:pt idx="1911">
                  <c:v>1.9350000000000001E-6</c:v>
                </c:pt>
                <c:pt idx="1912">
                  <c:v>1.9400000000000001E-6</c:v>
                </c:pt>
                <c:pt idx="1913">
                  <c:v>1.945E-6</c:v>
                </c:pt>
                <c:pt idx="1914">
                  <c:v>1.95E-6</c:v>
                </c:pt>
                <c:pt idx="1915">
                  <c:v>1.9549999999999999E-6</c:v>
                </c:pt>
                <c:pt idx="1916">
                  <c:v>1.9599999999999999E-6</c:v>
                </c:pt>
                <c:pt idx="1917">
                  <c:v>1.9649999999999998E-6</c:v>
                </c:pt>
                <c:pt idx="1918">
                  <c:v>1.9700000000000002E-6</c:v>
                </c:pt>
                <c:pt idx="1919">
                  <c:v>1.9750000000000001E-6</c:v>
                </c:pt>
                <c:pt idx="1920">
                  <c:v>1.9800000000000001E-6</c:v>
                </c:pt>
                <c:pt idx="1921">
                  <c:v>1.9850000000000001E-6</c:v>
                </c:pt>
                <c:pt idx="1922">
                  <c:v>1.99E-6</c:v>
                </c:pt>
                <c:pt idx="1923">
                  <c:v>1.995E-6</c:v>
                </c:pt>
                <c:pt idx="1924">
                  <c:v>1.9999999999999999E-6</c:v>
                </c:pt>
                <c:pt idx="1925">
                  <c:v>2.0049999999999999E-6</c:v>
                </c:pt>
                <c:pt idx="1926">
                  <c:v>2.0099999999999998E-6</c:v>
                </c:pt>
                <c:pt idx="1927">
                  <c:v>2.0150000000000002E-6</c:v>
                </c:pt>
                <c:pt idx="1928">
                  <c:v>2.0200000000000001E-6</c:v>
                </c:pt>
                <c:pt idx="1929">
                  <c:v>2.0250000000000001E-6</c:v>
                </c:pt>
                <c:pt idx="1930">
                  <c:v>2.03E-6</c:v>
                </c:pt>
                <c:pt idx="1931">
                  <c:v>2.035E-6</c:v>
                </c:pt>
                <c:pt idx="1932">
                  <c:v>2.04E-6</c:v>
                </c:pt>
                <c:pt idx="1933">
                  <c:v>2.0449999999999999E-6</c:v>
                </c:pt>
                <c:pt idx="1934">
                  <c:v>2.0499999999999999E-6</c:v>
                </c:pt>
                <c:pt idx="1935">
                  <c:v>2.0549999999999998E-6</c:v>
                </c:pt>
                <c:pt idx="1936">
                  <c:v>2.0600000000000002E-6</c:v>
                </c:pt>
                <c:pt idx="1937">
                  <c:v>2.0650000000000001E-6</c:v>
                </c:pt>
                <c:pt idx="1938">
                  <c:v>2.0700000000000001E-6</c:v>
                </c:pt>
                <c:pt idx="1939">
                  <c:v>2.075E-6</c:v>
                </c:pt>
                <c:pt idx="1940">
                  <c:v>2.08E-6</c:v>
                </c:pt>
                <c:pt idx="1941">
                  <c:v>2.0849999999999999E-6</c:v>
                </c:pt>
                <c:pt idx="1942">
                  <c:v>2.0899999999999999E-6</c:v>
                </c:pt>
                <c:pt idx="1943">
                  <c:v>2.0949999999999998E-6</c:v>
                </c:pt>
                <c:pt idx="1944">
                  <c:v>2.0999999999999998E-6</c:v>
                </c:pt>
                <c:pt idx="1945">
                  <c:v>2.1050000000000002E-6</c:v>
                </c:pt>
                <c:pt idx="1946">
                  <c:v>2.1100000000000001E-6</c:v>
                </c:pt>
                <c:pt idx="1947">
                  <c:v>2.1150000000000001E-6</c:v>
                </c:pt>
                <c:pt idx="1948">
                  <c:v>2.12E-6</c:v>
                </c:pt>
                <c:pt idx="1949">
                  <c:v>2.125E-6</c:v>
                </c:pt>
                <c:pt idx="1950">
                  <c:v>2.1299999999999999E-6</c:v>
                </c:pt>
                <c:pt idx="1951">
                  <c:v>2.1349999999999999E-6</c:v>
                </c:pt>
                <c:pt idx="1952">
                  <c:v>2.1399999999999998E-6</c:v>
                </c:pt>
                <c:pt idx="1953">
                  <c:v>2.1449999999999998E-6</c:v>
                </c:pt>
                <c:pt idx="1954">
                  <c:v>2.1500000000000002E-6</c:v>
                </c:pt>
                <c:pt idx="1955">
                  <c:v>2.1550000000000001E-6</c:v>
                </c:pt>
                <c:pt idx="1956">
                  <c:v>2.1600000000000001E-6</c:v>
                </c:pt>
                <c:pt idx="1957">
                  <c:v>2.165E-6</c:v>
                </c:pt>
                <c:pt idx="1958">
                  <c:v>2.17E-6</c:v>
                </c:pt>
                <c:pt idx="1959">
                  <c:v>2.1749999999999999E-6</c:v>
                </c:pt>
                <c:pt idx="1960">
                  <c:v>2.1799999999999999E-6</c:v>
                </c:pt>
                <c:pt idx="1961">
                  <c:v>2.1849999999999998E-6</c:v>
                </c:pt>
                <c:pt idx="1962">
                  <c:v>2.1900000000000002E-6</c:v>
                </c:pt>
                <c:pt idx="1963">
                  <c:v>2.1950000000000002E-6</c:v>
                </c:pt>
                <c:pt idx="1964">
                  <c:v>2.2000000000000001E-6</c:v>
                </c:pt>
                <c:pt idx="1965">
                  <c:v>2.2050000000000001E-6</c:v>
                </c:pt>
                <c:pt idx="1966">
                  <c:v>2.21E-6</c:v>
                </c:pt>
                <c:pt idx="1967">
                  <c:v>2.215E-6</c:v>
                </c:pt>
                <c:pt idx="1968">
                  <c:v>2.2199999999999999E-6</c:v>
                </c:pt>
                <c:pt idx="1969">
                  <c:v>2.2249999999999999E-6</c:v>
                </c:pt>
                <c:pt idx="1970">
                  <c:v>2.2299999999999998E-6</c:v>
                </c:pt>
                <c:pt idx="1971">
                  <c:v>2.2350000000000002E-6</c:v>
                </c:pt>
                <c:pt idx="1972">
                  <c:v>2.2400000000000002E-6</c:v>
                </c:pt>
                <c:pt idx="1973">
                  <c:v>2.2450000000000001E-6</c:v>
                </c:pt>
                <c:pt idx="1974">
                  <c:v>2.2500000000000001E-6</c:v>
                </c:pt>
                <c:pt idx="1975">
                  <c:v>2.255E-6</c:v>
                </c:pt>
                <c:pt idx="1976">
                  <c:v>2.26E-6</c:v>
                </c:pt>
                <c:pt idx="1977">
                  <c:v>2.2649999999999999E-6</c:v>
                </c:pt>
                <c:pt idx="1978">
                  <c:v>2.2699999999999999E-6</c:v>
                </c:pt>
                <c:pt idx="1979">
                  <c:v>2.2749999999999998E-6</c:v>
                </c:pt>
                <c:pt idx="1980">
                  <c:v>2.2800000000000002E-6</c:v>
                </c:pt>
                <c:pt idx="1981">
                  <c:v>2.2850000000000001E-6</c:v>
                </c:pt>
                <c:pt idx="1982">
                  <c:v>2.2900000000000001E-6</c:v>
                </c:pt>
                <c:pt idx="1983">
                  <c:v>2.295E-6</c:v>
                </c:pt>
                <c:pt idx="1984">
                  <c:v>2.3E-6</c:v>
                </c:pt>
                <c:pt idx="1985">
                  <c:v>2.305E-6</c:v>
                </c:pt>
                <c:pt idx="1986">
                  <c:v>2.3099999999999999E-6</c:v>
                </c:pt>
                <c:pt idx="1987">
                  <c:v>2.3149999999999999E-6</c:v>
                </c:pt>
                <c:pt idx="1988">
                  <c:v>2.3199999999999998E-6</c:v>
                </c:pt>
                <c:pt idx="1989">
                  <c:v>2.3250000000000002E-6</c:v>
                </c:pt>
                <c:pt idx="1990">
                  <c:v>2.3300000000000001E-6</c:v>
                </c:pt>
                <c:pt idx="1991">
                  <c:v>2.3350000000000001E-6</c:v>
                </c:pt>
                <c:pt idx="1992">
                  <c:v>2.34E-6</c:v>
                </c:pt>
                <c:pt idx="1993">
                  <c:v>2.345E-6</c:v>
                </c:pt>
                <c:pt idx="1994">
                  <c:v>2.3499999999999999E-6</c:v>
                </c:pt>
                <c:pt idx="1995">
                  <c:v>2.3549999999999999E-6</c:v>
                </c:pt>
                <c:pt idx="1996">
                  <c:v>2.3599999999999999E-6</c:v>
                </c:pt>
                <c:pt idx="1997">
                  <c:v>2.3649999999999998E-6</c:v>
                </c:pt>
                <c:pt idx="1998">
                  <c:v>2.3700000000000002E-6</c:v>
                </c:pt>
                <c:pt idx="1999">
                  <c:v>2.3750000000000001E-6</c:v>
                </c:pt>
              </c:numCache>
            </c:numRef>
          </c:xVal>
          <c:yVal>
            <c:numRef>
              <c:f>'Square Wave'!$B$3:$B$1048576</c:f>
              <c:numCache>
                <c:formatCode>0.00E+00</c:formatCode>
                <c:ptCount val="1048574"/>
                <c:pt idx="0">
                  <c:v>-3.5322863958000002E-2</c:v>
                </c:pt>
                <c:pt idx="1">
                  <c:v>-3.2910803682000001E-2</c:v>
                </c:pt>
                <c:pt idx="2">
                  <c:v>-3.7734924234000003E-2</c:v>
                </c:pt>
                <c:pt idx="3">
                  <c:v>-3.6126884050000002E-2</c:v>
                </c:pt>
                <c:pt idx="4">
                  <c:v>-3.6930904142000003E-2</c:v>
                </c:pt>
                <c:pt idx="5">
                  <c:v>-3.6126884050000002E-2</c:v>
                </c:pt>
                <c:pt idx="6">
                  <c:v>-3.7734924234000003E-2</c:v>
                </c:pt>
                <c:pt idx="7">
                  <c:v>-3.6930904142000003E-2</c:v>
                </c:pt>
                <c:pt idx="8">
                  <c:v>-3.1302763498E-2</c:v>
                </c:pt>
                <c:pt idx="9">
                  <c:v>-3.5322863958000002E-2</c:v>
                </c:pt>
                <c:pt idx="10">
                  <c:v>-3.5322863958000002E-2</c:v>
                </c:pt>
                <c:pt idx="11">
                  <c:v>-3.6126884050000002E-2</c:v>
                </c:pt>
                <c:pt idx="12">
                  <c:v>-3.6930904142000003E-2</c:v>
                </c:pt>
                <c:pt idx="13">
                  <c:v>-3.210678359E-2</c:v>
                </c:pt>
                <c:pt idx="14">
                  <c:v>-3.6126884050000002E-2</c:v>
                </c:pt>
                <c:pt idx="15">
                  <c:v>-3.2910803682000001E-2</c:v>
                </c:pt>
                <c:pt idx="16">
                  <c:v>-3.6126884050000002E-2</c:v>
                </c:pt>
                <c:pt idx="17">
                  <c:v>-3.4518843866000001E-2</c:v>
                </c:pt>
                <c:pt idx="18">
                  <c:v>-3.2910803682000001E-2</c:v>
                </c:pt>
                <c:pt idx="19">
                  <c:v>-3.6126884050000002E-2</c:v>
                </c:pt>
                <c:pt idx="20">
                  <c:v>-3.210678359E-2</c:v>
                </c:pt>
                <c:pt idx="21">
                  <c:v>-3.3714823774000001E-2</c:v>
                </c:pt>
                <c:pt idx="22">
                  <c:v>-3.4518843866000001E-2</c:v>
                </c:pt>
                <c:pt idx="23">
                  <c:v>-3.4518843866000001E-2</c:v>
                </c:pt>
                <c:pt idx="24">
                  <c:v>-3.6126884050000002E-2</c:v>
                </c:pt>
                <c:pt idx="25">
                  <c:v>-3.5322863958000002E-2</c:v>
                </c:pt>
                <c:pt idx="26">
                  <c:v>-3.210678359E-2</c:v>
                </c:pt>
                <c:pt idx="27">
                  <c:v>-3.6126884050000002E-2</c:v>
                </c:pt>
                <c:pt idx="28">
                  <c:v>-3.210678359E-2</c:v>
                </c:pt>
                <c:pt idx="29">
                  <c:v>-3.2910803682000001E-2</c:v>
                </c:pt>
                <c:pt idx="30">
                  <c:v>-3.6930904142000003E-2</c:v>
                </c:pt>
                <c:pt idx="31">
                  <c:v>-3.6930904142000003E-2</c:v>
                </c:pt>
                <c:pt idx="32">
                  <c:v>-3.4518843866000001E-2</c:v>
                </c:pt>
                <c:pt idx="33">
                  <c:v>-3.4518843866000001E-2</c:v>
                </c:pt>
                <c:pt idx="34">
                  <c:v>-3.5322863958000002E-2</c:v>
                </c:pt>
                <c:pt idx="35">
                  <c:v>-3.3714823774000001E-2</c:v>
                </c:pt>
                <c:pt idx="36">
                  <c:v>-3.3714823774000001E-2</c:v>
                </c:pt>
                <c:pt idx="37">
                  <c:v>-3.6126884050000002E-2</c:v>
                </c:pt>
                <c:pt idx="38">
                  <c:v>-3.6126884050000002E-2</c:v>
                </c:pt>
                <c:pt idx="39">
                  <c:v>-3.6930904142000003E-2</c:v>
                </c:pt>
                <c:pt idx="40">
                  <c:v>-3.3714823774000001E-2</c:v>
                </c:pt>
                <c:pt idx="41">
                  <c:v>-3.4518843866000001E-2</c:v>
                </c:pt>
                <c:pt idx="42">
                  <c:v>-3.6930904142000003E-2</c:v>
                </c:pt>
                <c:pt idx="43">
                  <c:v>-3.4518843866000001E-2</c:v>
                </c:pt>
                <c:pt idx="44">
                  <c:v>-3.6126884050000002E-2</c:v>
                </c:pt>
                <c:pt idx="45">
                  <c:v>-3.5322863958000002E-2</c:v>
                </c:pt>
                <c:pt idx="46">
                  <c:v>-3.4518843866000001E-2</c:v>
                </c:pt>
                <c:pt idx="47">
                  <c:v>-3.5322863958000002E-2</c:v>
                </c:pt>
                <c:pt idx="48">
                  <c:v>-3.6126884050000002E-2</c:v>
                </c:pt>
                <c:pt idx="49">
                  <c:v>-3.2910803682000001E-2</c:v>
                </c:pt>
                <c:pt idx="50">
                  <c:v>-3.9342964416999998E-2</c:v>
                </c:pt>
                <c:pt idx="51">
                  <c:v>-3.5322863958000002E-2</c:v>
                </c:pt>
                <c:pt idx="52">
                  <c:v>-3.7734924234000003E-2</c:v>
                </c:pt>
                <c:pt idx="53">
                  <c:v>-3.6126884050000002E-2</c:v>
                </c:pt>
                <c:pt idx="54">
                  <c:v>-3.6930904142000003E-2</c:v>
                </c:pt>
                <c:pt idx="55">
                  <c:v>-3.6126884050000002E-2</c:v>
                </c:pt>
                <c:pt idx="56">
                  <c:v>-3.2910803682000001E-2</c:v>
                </c:pt>
                <c:pt idx="57">
                  <c:v>-3.3714823774000001E-2</c:v>
                </c:pt>
                <c:pt idx="58">
                  <c:v>-3.3714823774000001E-2</c:v>
                </c:pt>
                <c:pt idx="59">
                  <c:v>-3.6930904142000003E-2</c:v>
                </c:pt>
                <c:pt idx="60">
                  <c:v>-3.6126884050000002E-2</c:v>
                </c:pt>
                <c:pt idx="61">
                  <c:v>-3.5322863958000002E-2</c:v>
                </c:pt>
                <c:pt idx="62">
                  <c:v>-3.5322863958000002E-2</c:v>
                </c:pt>
                <c:pt idx="63">
                  <c:v>-3.2910803682000001E-2</c:v>
                </c:pt>
                <c:pt idx="64">
                  <c:v>-3.6126884050000002E-2</c:v>
                </c:pt>
                <c:pt idx="65">
                  <c:v>-3.6930904142000003E-2</c:v>
                </c:pt>
                <c:pt idx="66">
                  <c:v>-3.7734924234000003E-2</c:v>
                </c:pt>
                <c:pt idx="67">
                  <c:v>-3.6126884050000002E-2</c:v>
                </c:pt>
                <c:pt idx="68">
                  <c:v>-3.8538944324999998E-2</c:v>
                </c:pt>
                <c:pt idx="69">
                  <c:v>-3.6126884050000002E-2</c:v>
                </c:pt>
                <c:pt idx="70">
                  <c:v>-3.8538944324999998E-2</c:v>
                </c:pt>
                <c:pt idx="71">
                  <c:v>-3.5322863958000002E-2</c:v>
                </c:pt>
                <c:pt idx="72">
                  <c:v>-3.5322863958000002E-2</c:v>
                </c:pt>
                <c:pt idx="73">
                  <c:v>-3.5322863958000002E-2</c:v>
                </c:pt>
                <c:pt idx="74">
                  <c:v>-3.6126884050000002E-2</c:v>
                </c:pt>
                <c:pt idx="75">
                  <c:v>-3.3714823774000001E-2</c:v>
                </c:pt>
                <c:pt idx="76">
                  <c:v>-3.8538944324999998E-2</c:v>
                </c:pt>
                <c:pt idx="77">
                  <c:v>-3.5322863958000002E-2</c:v>
                </c:pt>
                <c:pt idx="78">
                  <c:v>-3.7734924234000003E-2</c:v>
                </c:pt>
                <c:pt idx="79">
                  <c:v>-3.6126884050000002E-2</c:v>
                </c:pt>
                <c:pt idx="80">
                  <c:v>-3.3714823774000001E-2</c:v>
                </c:pt>
                <c:pt idx="81">
                  <c:v>-3.5322863958000002E-2</c:v>
                </c:pt>
                <c:pt idx="82">
                  <c:v>-3.4518843866000001E-2</c:v>
                </c:pt>
                <c:pt idx="83">
                  <c:v>-3.4518843866000001E-2</c:v>
                </c:pt>
                <c:pt idx="84">
                  <c:v>-3.6930904142000003E-2</c:v>
                </c:pt>
                <c:pt idx="85">
                  <c:v>-3.210678359E-2</c:v>
                </c:pt>
                <c:pt idx="86">
                  <c:v>-3.8538944324999998E-2</c:v>
                </c:pt>
                <c:pt idx="87">
                  <c:v>-3.3714823774000001E-2</c:v>
                </c:pt>
                <c:pt idx="88">
                  <c:v>-3.4518843866000001E-2</c:v>
                </c:pt>
                <c:pt idx="89">
                  <c:v>-3.4518843866000001E-2</c:v>
                </c:pt>
                <c:pt idx="90">
                  <c:v>-3.6126884050000002E-2</c:v>
                </c:pt>
                <c:pt idx="91">
                  <c:v>-3.4518843866000001E-2</c:v>
                </c:pt>
                <c:pt idx="92">
                  <c:v>-3.5322863958000002E-2</c:v>
                </c:pt>
                <c:pt idx="93">
                  <c:v>-3.4518843866000001E-2</c:v>
                </c:pt>
                <c:pt idx="94">
                  <c:v>-3.4518843866000001E-2</c:v>
                </c:pt>
                <c:pt idx="95">
                  <c:v>-3.2910803682000001E-2</c:v>
                </c:pt>
                <c:pt idx="96">
                  <c:v>-3.3714823774000001E-2</c:v>
                </c:pt>
                <c:pt idx="97">
                  <c:v>-3.6126884050000002E-2</c:v>
                </c:pt>
                <c:pt idx="98">
                  <c:v>-3.3714823774000001E-2</c:v>
                </c:pt>
                <c:pt idx="99">
                  <c:v>-3.5322863958000002E-2</c:v>
                </c:pt>
                <c:pt idx="100">
                  <c:v>-3.7734924234000003E-2</c:v>
                </c:pt>
                <c:pt idx="101">
                  <c:v>-3.2910803682000001E-2</c:v>
                </c:pt>
                <c:pt idx="102">
                  <c:v>-3.4518843866000001E-2</c:v>
                </c:pt>
                <c:pt idx="103">
                  <c:v>-3.4518843866000001E-2</c:v>
                </c:pt>
                <c:pt idx="104">
                  <c:v>-3.6126884050000002E-2</c:v>
                </c:pt>
                <c:pt idx="105">
                  <c:v>-3.210678359E-2</c:v>
                </c:pt>
                <c:pt idx="106">
                  <c:v>-3.2910803682000001E-2</c:v>
                </c:pt>
                <c:pt idx="107">
                  <c:v>-3.4518843866000001E-2</c:v>
                </c:pt>
                <c:pt idx="108">
                  <c:v>-3.3714823774000001E-2</c:v>
                </c:pt>
                <c:pt idx="109">
                  <c:v>-3.4518843866000001E-2</c:v>
                </c:pt>
                <c:pt idx="110">
                  <c:v>-3.1302763498E-2</c:v>
                </c:pt>
                <c:pt idx="111">
                  <c:v>-3.5322863958000002E-2</c:v>
                </c:pt>
                <c:pt idx="112">
                  <c:v>-3.5322863958000002E-2</c:v>
                </c:pt>
                <c:pt idx="113">
                  <c:v>-3.3714823774000001E-2</c:v>
                </c:pt>
                <c:pt idx="114">
                  <c:v>-3.4518843866000001E-2</c:v>
                </c:pt>
                <c:pt idx="115">
                  <c:v>-3.3714823774000001E-2</c:v>
                </c:pt>
                <c:pt idx="116">
                  <c:v>-3.6126884050000002E-2</c:v>
                </c:pt>
                <c:pt idx="117">
                  <c:v>-3.2910803682000001E-2</c:v>
                </c:pt>
                <c:pt idx="118">
                  <c:v>-3.6930904142000003E-2</c:v>
                </c:pt>
                <c:pt idx="119">
                  <c:v>-3.5322863958000002E-2</c:v>
                </c:pt>
                <c:pt idx="120">
                  <c:v>-3.4518843866000001E-2</c:v>
                </c:pt>
                <c:pt idx="121">
                  <c:v>-3.210678359E-2</c:v>
                </c:pt>
                <c:pt idx="122">
                  <c:v>-3.5322863958000002E-2</c:v>
                </c:pt>
                <c:pt idx="123">
                  <c:v>-3.4518843866000001E-2</c:v>
                </c:pt>
                <c:pt idx="124">
                  <c:v>-3.6126884050000002E-2</c:v>
                </c:pt>
                <c:pt idx="125">
                  <c:v>-3.3714823774000001E-2</c:v>
                </c:pt>
                <c:pt idx="126">
                  <c:v>-3.4518843866000001E-2</c:v>
                </c:pt>
                <c:pt idx="127">
                  <c:v>-3.210678359E-2</c:v>
                </c:pt>
                <c:pt idx="128">
                  <c:v>-3.210678359E-2</c:v>
                </c:pt>
                <c:pt idx="129">
                  <c:v>-3.6126884050000002E-2</c:v>
                </c:pt>
                <c:pt idx="130">
                  <c:v>-3.5322863958000002E-2</c:v>
                </c:pt>
                <c:pt idx="131">
                  <c:v>-3.5322863958000002E-2</c:v>
                </c:pt>
                <c:pt idx="132">
                  <c:v>-3.5322863958000002E-2</c:v>
                </c:pt>
                <c:pt idx="133">
                  <c:v>-3.1302763498E-2</c:v>
                </c:pt>
                <c:pt idx="134">
                  <c:v>-3.4518843866000001E-2</c:v>
                </c:pt>
                <c:pt idx="135">
                  <c:v>-3.4518843866000001E-2</c:v>
                </c:pt>
                <c:pt idx="136">
                  <c:v>-3.6126884050000002E-2</c:v>
                </c:pt>
                <c:pt idx="137">
                  <c:v>-3.6930904142000003E-2</c:v>
                </c:pt>
                <c:pt idx="138">
                  <c:v>-3.6126884050000002E-2</c:v>
                </c:pt>
                <c:pt idx="139">
                  <c:v>-3.2910803682000001E-2</c:v>
                </c:pt>
                <c:pt idx="140">
                  <c:v>-3.5322863958000002E-2</c:v>
                </c:pt>
                <c:pt idx="141">
                  <c:v>-3.3714823774000001E-2</c:v>
                </c:pt>
                <c:pt idx="142">
                  <c:v>-3.6930904142000003E-2</c:v>
                </c:pt>
                <c:pt idx="143">
                  <c:v>-3.3714823774000001E-2</c:v>
                </c:pt>
                <c:pt idx="144">
                  <c:v>-3.6126884050000002E-2</c:v>
                </c:pt>
                <c:pt idx="145">
                  <c:v>-3.210678359E-2</c:v>
                </c:pt>
                <c:pt idx="146">
                  <c:v>-3.5322863958000002E-2</c:v>
                </c:pt>
                <c:pt idx="147">
                  <c:v>-3.6126884050000002E-2</c:v>
                </c:pt>
                <c:pt idx="148">
                  <c:v>-3.210678359E-2</c:v>
                </c:pt>
                <c:pt idx="149">
                  <c:v>-3.5322863958000002E-2</c:v>
                </c:pt>
                <c:pt idx="150">
                  <c:v>-3.4518843866000001E-2</c:v>
                </c:pt>
                <c:pt idx="151">
                  <c:v>-3.4518843866000001E-2</c:v>
                </c:pt>
                <c:pt idx="152">
                  <c:v>-3.2910803682000001E-2</c:v>
                </c:pt>
                <c:pt idx="153">
                  <c:v>-3.3714823774000001E-2</c:v>
                </c:pt>
                <c:pt idx="154">
                  <c:v>-3.2910803682000001E-2</c:v>
                </c:pt>
                <c:pt idx="155">
                  <c:v>-3.4518843866000001E-2</c:v>
                </c:pt>
                <c:pt idx="156">
                  <c:v>-3.3714823774000001E-2</c:v>
                </c:pt>
                <c:pt idx="157">
                  <c:v>-3.6930904142000003E-2</c:v>
                </c:pt>
                <c:pt idx="158">
                  <c:v>-3.6126884050000002E-2</c:v>
                </c:pt>
                <c:pt idx="159">
                  <c:v>-3.0498743405999999E-2</c:v>
                </c:pt>
                <c:pt idx="160">
                  <c:v>-3.3714823774000001E-2</c:v>
                </c:pt>
                <c:pt idx="161">
                  <c:v>-3.2910803682000001E-2</c:v>
                </c:pt>
                <c:pt idx="162">
                  <c:v>-3.5322863958000002E-2</c:v>
                </c:pt>
                <c:pt idx="163">
                  <c:v>-3.5322863958000002E-2</c:v>
                </c:pt>
                <c:pt idx="164">
                  <c:v>-3.6930904142000003E-2</c:v>
                </c:pt>
                <c:pt idx="165">
                  <c:v>-3.3714823774000001E-2</c:v>
                </c:pt>
                <c:pt idx="166">
                  <c:v>-3.7734924232999997E-2</c:v>
                </c:pt>
                <c:pt idx="167">
                  <c:v>-3.4518843866000001E-2</c:v>
                </c:pt>
                <c:pt idx="168">
                  <c:v>-3.5322863958000002E-2</c:v>
                </c:pt>
                <c:pt idx="169">
                  <c:v>-3.6126884050000002E-2</c:v>
                </c:pt>
                <c:pt idx="170">
                  <c:v>-3.5322863958000002E-2</c:v>
                </c:pt>
                <c:pt idx="171">
                  <c:v>-3.3714823774000001E-2</c:v>
                </c:pt>
                <c:pt idx="172">
                  <c:v>-3.6930904142000003E-2</c:v>
                </c:pt>
                <c:pt idx="173">
                  <c:v>-3.3714823774000001E-2</c:v>
                </c:pt>
                <c:pt idx="174">
                  <c:v>-3.3714823774000001E-2</c:v>
                </c:pt>
                <c:pt idx="175">
                  <c:v>-3.5322863958000002E-2</c:v>
                </c:pt>
                <c:pt idx="176">
                  <c:v>-3.5322863958000002E-2</c:v>
                </c:pt>
                <c:pt idx="177">
                  <c:v>-3.4518843866000001E-2</c:v>
                </c:pt>
                <c:pt idx="178">
                  <c:v>-3.6930904142000003E-2</c:v>
                </c:pt>
                <c:pt idx="179">
                  <c:v>-3.210678359E-2</c:v>
                </c:pt>
                <c:pt idx="180">
                  <c:v>-3.6126884050000002E-2</c:v>
                </c:pt>
                <c:pt idx="181">
                  <c:v>-3.6126884050000002E-2</c:v>
                </c:pt>
                <c:pt idx="182">
                  <c:v>-3.6126884050000002E-2</c:v>
                </c:pt>
                <c:pt idx="183">
                  <c:v>-3.5322863958000002E-2</c:v>
                </c:pt>
                <c:pt idx="184">
                  <c:v>-3.6126884050000002E-2</c:v>
                </c:pt>
                <c:pt idx="185">
                  <c:v>-3.6930904142000003E-2</c:v>
                </c:pt>
                <c:pt idx="186">
                  <c:v>-3.5322863958000002E-2</c:v>
                </c:pt>
                <c:pt idx="187">
                  <c:v>-3.7734924234000003E-2</c:v>
                </c:pt>
                <c:pt idx="188">
                  <c:v>-3.210678359E-2</c:v>
                </c:pt>
                <c:pt idx="189">
                  <c:v>-3.210678359E-2</c:v>
                </c:pt>
                <c:pt idx="190">
                  <c:v>-3.210678359E-2</c:v>
                </c:pt>
                <c:pt idx="191">
                  <c:v>-3.1302763498E-2</c:v>
                </c:pt>
                <c:pt idx="192">
                  <c:v>-3.7734924234000003E-2</c:v>
                </c:pt>
                <c:pt idx="193">
                  <c:v>-3.6930904142000003E-2</c:v>
                </c:pt>
                <c:pt idx="194">
                  <c:v>-3.5322863958000002E-2</c:v>
                </c:pt>
                <c:pt idx="195">
                  <c:v>-3.6126884050000002E-2</c:v>
                </c:pt>
                <c:pt idx="196">
                  <c:v>-3.7734924234000003E-2</c:v>
                </c:pt>
                <c:pt idx="197">
                  <c:v>-3.2910803682000001E-2</c:v>
                </c:pt>
                <c:pt idx="198">
                  <c:v>-3.3714823774000001E-2</c:v>
                </c:pt>
                <c:pt idx="199">
                  <c:v>-3.4518843866000001E-2</c:v>
                </c:pt>
                <c:pt idx="200">
                  <c:v>-3.6126884050000002E-2</c:v>
                </c:pt>
                <c:pt idx="201">
                  <c:v>-3.5322863958000002E-2</c:v>
                </c:pt>
                <c:pt idx="202">
                  <c:v>-3.3714823774000001E-2</c:v>
                </c:pt>
                <c:pt idx="203">
                  <c:v>-3.3714823774000001E-2</c:v>
                </c:pt>
                <c:pt idx="204">
                  <c:v>-3.2910803682000001E-2</c:v>
                </c:pt>
                <c:pt idx="205">
                  <c:v>-3.4518843866000001E-2</c:v>
                </c:pt>
                <c:pt idx="206">
                  <c:v>-3.2910803682000001E-2</c:v>
                </c:pt>
                <c:pt idx="207">
                  <c:v>-3.210678359E-2</c:v>
                </c:pt>
                <c:pt idx="208">
                  <c:v>-3.4518843866000001E-2</c:v>
                </c:pt>
                <c:pt idx="209">
                  <c:v>-3.1302763498E-2</c:v>
                </c:pt>
                <c:pt idx="210">
                  <c:v>-3.2910803682000001E-2</c:v>
                </c:pt>
                <c:pt idx="211">
                  <c:v>-3.3714823774000001E-2</c:v>
                </c:pt>
                <c:pt idx="212">
                  <c:v>-3.1302763498E-2</c:v>
                </c:pt>
                <c:pt idx="213">
                  <c:v>-3.1302763498E-2</c:v>
                </c:pt>
                <c:pt idx="214">
                  <c:v>-3.5322863958000002E-2</c:v>
                </c:pt>
                <c:pt idx="215">
                  <c:v>-3.2910803682000001E-2</c:v>
                </c:pt>
                <c:pt idx="216">
                  <c:v>-3.0498743405999999E-2</c:v>
                </c:pt>
                <c:pt idx="217">
                  <c:v>-3.2910803682000001E-2</c:v>
                </c:pt>
                <c:pt idx="218">
                  <c:v>-3.3714823774000001E-2</c:v>
                </c:pt>
                <c:pt idx="219">
                  <c:v>-3.3714823774000001E-2</c:v>
                </c:pt>
                <c:pt idx="220">
                  <c:v>-3.5322863958000002E-2</c:v>
                </c:pt>
                <c:pt idx="221">
                  <c:v>-3.1302763498E-2</c:v>
                </c:pt>
                <c:pt idx="222">
                  <c:v>-3.6126884050000002E-2</c:v>
                </c:pt>
                <c:pt idx="223">
                  <c:v>-3.210678359E-2</c:v>
                </c:pt>
                <c:pt idx="224">
                  <c:v>-3.3714823774000001E-2</c:v>
                </c:pt>
                <c:pt idx="225">
                  <c:v>-3.0498743405999999E-2</c:v>
                </c:pt>
                <c:pt idx="226">
                  <c:v>-3.4518843866000001E-2</c:v>
                </c:pt>
                <c:pt idx="227">
                  <c:v>-3.6930904142000003E-2</c:v>
                </c:pt>
                <c:pt idx="228">
                  <c:v>-3.5322863958000002E-2</c:v>
                </c:pt>
                <c:pt idx="229">
                  <c:v>-3.7734924234000003E-2</c:v>
                </c:pt>
                <c:pt idx="230">
                  <c:v>-3.4518843866000001E-2</c:v>
                </c:pt>
                <c:pt idx="231">
                  <c:v>-3.6126884050000002E-2</c:v>
                </c:pt>
                <c:pt idx="232">
                  <c:v>-3.6930904142000003E-2</c:v>
                </c:pt>
                <c:pt idx="233">
                  <c:v>-3.7734924234000003E-2</c:v>
                </c:pt>
                <c:pt idx="234">
                  <c:v>-3.6126884050000002E-2</c:v>
                </c:pt>
                <c:pt idx="235">
                  <c:v>-3.5322863958000002E-2</c:v>
                </c:pt>
                <c:pt idx="236">
                  <c:v>-3.6126884050000002E-2</c:v>
                </c:pt>
                <c:pt idx="237">
                  <c:v>-3.6126884050000002E-2</c:v>
                </c:pt>
                <c:pt idx="238">
                  <c:v>-3.5322863958000002E-2</c:v>
                </c:pt>
                <c:pt idx="239">
                  <c:v>-3.2910803682000001E-2</c:v>
                </c:pt>
                <c:pt idx="240">
                  <c:v>-3.6930904142000003E-2</c:v>
                </c:pt>
                <c:pt idx="241">
                  <c:v>-3.5322863958000002E-2</c:v>
                </c:pt>
                <c:pt idx="242">
                  <c:v>-3.6930904142000003E-2</c:v>
                </c:pt>
                <c:pt idx="243">
                  <c:v>-3.2910803682000001E-2</c:v>
                </c:pt>
                <c:pt idx="244">
                  <c:v>-3.6930904142000003E-2</c:v>
                </c:pt>
                <c:pt idx="245">
                  <c:v>-3.3714823774000001E-2</c:v>
                </c:pt>
                <c:pt idx="246">
                  <c:v>-3.6126884050000002E-2</c:v>
                </c:pt>
                <c:pt idx="247">
                  <c:v>-3.5322863958000002E-2</c:v>
                </c:pt>
                <c:pt idx="248">
                  <c:v>-3.3714823774000001E-2</c:v>
                </c:pt>
                <c:pt idx="249">
                  <c:v>-3.3714823774000001E-2</c:v>
                </c:pt>
                <c:pt idx="250">
                  <c:v>-3.1302763498E-2</c:v>
                </c:pt>
                <c:pt idx="251">
                  <c:v>-3.5322863958000002E-2</c:v>
                </c:pt>
                <c:pt idx="252">
                  <c:v>-3.2910803682000001E-2</c:v>
                </c:pt>
                <c:pt idx="253">
                  <c:v>-3.2910803682000001E-2</c:v>
                </c:pt>
                <c:pt idx="254">
                  <c:v>-3.0498743407000001E-2</c:v>
                </c:pt>
                <c:pt idx="255">
                  <c:v>-3.1302763498E-2</c:v>
                </c:pt>
                <c:pt idx="256">
                  <c:v>-3.5322863958000002E-2</c:v>
                </c:pt>
                <c:pt idx="257">
                  <c:v>-3.2910803682000001E-2</c:v>
                </c:pt>
                <c:pt idx="258">
                  <c:v>-3.3714823774000001E-2</c:v>
                </c:pt>
                <c:pt idx="259">
                  <c:v>-3.3714823774000001E-2</c:v>
                </c:pt>
                <c:pt idx="260">
                  <c:v>-3.2910803682000001E-2</c:v>
                </c:pt>
                <c:pt idx="261">
                  <c:v>-2.9694723315000001E-2</c:v>
                </c:pt>
                <c:pt idx="262">
                  <c:v>-3.2910803682000001E-2</c:v>
                </c:pt>
                <c:pt idx="263">
                  <c:v>-3.6126884050000002E-2</c:v>
                </c:pt>
                <c:pt idx="264">
                  <c:v>-3.4518843866000001E-2</c:v>
                </c:pt>
                <c:pt idx="265">
                  <c:v>-3.4518843866000001E-2</c:v>
                </c:pt>
                <c:pt idx="266">
                  <c:v>-3.5322863958000002E-2</c:v>
                </c:pt>
                <c:pt idx="267">
                  <c:v>-3.4518843866000001E-2</c:v>
                </c:pt>
                <c:pt idx="268">
                  <c:v>-3.3714823774000001E-2</c:v>
                </c:pt>
                <c:pt idx="269">
                  <c:v>-3.3714823774000001E-2</c:v>
                </c:pt>
                <c:pt idx="270">
                  <c:v>-3.4518843866000001E-2</c:v>
                </c:pt>
                <c:pt idx="271">
                  <c:v>-3.6930904142000003E-2</c:v>
                </c:pt>
                <c:pt idx="272">
                  <c:v>-3.4518843866000001E-2</c:v>
                </c:pt>
                <c:pt idx="273">
                  <c:v>-3.210678359E-2</c:v>
                </c:pt>
                <c:pt idx="274">
                  <c:v>-3.5322863958000002E-2</c:v>
                </c:pt>
                <c:pt idx="275">
                  <c:v>-3.5322863958000002E-2</c:v>
                </c:pt>
                <c:pt idx="276">
                  <c:v>-3.5322863958000002E-2</c:v>
                </c:pt>
                <c:pt idx="277">
                  <c:v>-3.4518843866000001E-2</c:v>
                </c:pt>
                <c:pt idx="278">
                  <c:v>-3.5322863958000002E-2</c:v>
                </c:pt>
                <c:pt idx="279">
                  <c:v>-3.3714823774000001E-2</c:v>
                </c:pt>
                <c:pt idx="280">
                  <c:v>-3.7734924232999997E-2</c:v>
                </c:pt>
                <c:pt idx="281">
                  <c:v>-3.3714823774000001E-2</c:v>
                </c:pt>
                <c:pt idx="282">
                  <c:v>-3.2910803682000001E-2</c:v>
                </c:pt>
                <c:pt idx="283">
                  <c:v>-3.4518843866000001E-2</c:v>
                </c:pt>
                <c:pt idx="284">
                  <c:v>-3.4518843866000001E-2</c:v>
                </c:pt>
                <c:pt idx="285">
                  <c:v>-3.3714823774000001E-2</c:v>
                </c:pt>
                <c:pt idx="286">
                  <c:v>-3.4518843866000001E-2</c:v>
                </c:pt>
                <c:pt idx="287">
                  <c:v>-3.7734924232999997E-2</c:v>
                </c:pt>
                <c:pt idx="288">
                  <c:v>-3.1302763498E-2</c:v>
                </c:pt>
                <c:pt idx="289">
                  <c:v>-3.6930904142000003E-2</c:v>
                </c:pt>
                <c:pt idx="290">
                  <c:v>-3.3714823774000001E-2</c:v>
                </c:pt>
                <c:pt idx="291">
                  <c:v>-3.6930904142000003E-2</c:v>
                </c:pt>
                <c:pt idx="292">
                  <c:v>-3.7734924234000003E-2</c:v>
                </c:pt>
                <c:pt idx="293">
                  <c:v>-3.1302763498E-2</c:v>
                </c:pt>
                <c:pt idx="294">
                  <c:v>-3.0498743407000001E-2</c:v>
                </c:pt>
                <c:pt idx="295">
                  <c:v>-3.4518843866000001E-2</c:v>
                </c:pt>
                <c:pt idx="296">
                  <c:v>-3.3714823774000001E-2</c:v>
                </c:pt>
                <c:pt idx="297">
                  <c:v>-3.6126884050000002E-2</c:v>
                </c:pt>
                <c:pt idx="298">
                  <c:v>-3.6930904142000003E-2</c:v>
                </c:pt>
                <c:pt idx="299">
                  <c:v>-3.4518843866000001E-2</c:v>
                </c:pt>
                <c:pt idx="300">
                  <c:v>-3.5322863958000002E-2</c:v>
                </c:pt>
                <c:pt idx="301">
                  <c:v>-3.6126884050000002E-2</c:v>
                </c:pt>
                <c:pt idx="302">
                  <c:v>-3.4518843866000001E-2</c:v>
                </c:pt>
                <c:pt idx="303">
                  <c:v>-3.210678359E-2</c:v>
                </c:pt>
                <c:pt idx="304">
                  <c:v>-3.3714823774000001E-2</c:v>
                </c:pt>
                <c:pt idx="305">
                  <c:v>-3.3714823774000001E-2</c:v>
                </c:pt>
                <c:pt idx="306">
                  <c:v>-3.6126884050000002E-2</c:v>
                </c:pt>
                <c:pt idx="307">
                  <c:v>-3.6126884050000002E-2</c:v>
                </c:pt>
                <c:pt idx="308">
                  <c:v>-3.5322863958000002E-2</c:v>
                </c:pt>
                <c:pt idx="309">
                  <c:v>-3.5322863958000002E-2</c:v>
                </c:pt>
                <c:pt idx="310">
                  <c:v>-3.3714823774000001E-2</c:v>
                </c:pt>
                <c:pt idx="311">
                  <c:v>-3.4518843866000001E-2</c:v>
                </c:pt>
                <c:pt idx="312">
                  <c:v>-3.4518843866000001E-2</c:v>
                </c:pt>
                <c:pt idx="313">
                  <c:v>-3.2910803682000001E-2</c:v>
                </c:pt>
                <c:pt idx="314">
                  <c:v>-3.3714823774000001E-2</c:v>
                </c:pt>
                <c:pt idx="315">
                  <c:v>-3.2910803682000001E-2</c:v>
                </c:pt>
                <c:pt idx="316">
                  <c:v>-3.6126884050000002E-2</c:v>
                </c:pt>
                <c:pt idx="317">
                  <c:v>-3.4518843866000001E-2</c:v>
                </c:pt>
                <c:pt idx="318">
                  <c:v>-3.2910803682000001E-2</c:v>
                </c:pt>
                <c:pt idx="319">
                  <c:v>-3.3714823774000001E-2</c:v>
                </c:pt>
                <c:pt idx="320">
                  <c:v>-3.6126884050000002E-2</c:v>
                </c:pt>
                <c:pt idx="321">
                  <c:v>-3.5322863958000002E-2</c:v>
                </c:pt>
                <c:pt idx="322">
                  <c:v>-3.4518843866000001E-2</c:v>
                </c:pt>
                <c:pt idx="323">
                  <c:v>-3.4518843866000001E-2</c:v>
                </c:pt>
                <c:pt idx="324">
                  <c:v>-3.210678359E-2</c:v>
                </c:pt>
                <c:pt idx="325">
                  <c:v>-3.1302763498E-2</c:v>
                </c:pt>
                <c:pt idx="326">
                  <c:v>-3.2910803682000001E-2</c:v>
                </c:pt>
                <c:pt idx="327">
                  <c:v>-3.1302763498E-2</c:v>
                </c:pt>
                <c:pt idx="328">
                  <c:v>-3.5322863958000002E-2</c:v>
                </c:pt>
                <c:pt idx="329">
                  <c:v>-3.5322863958000002E-2</c:v>
                </c:pt>
                <c:pt idx="330">
                  <c:v>-3.3714823774000001E-2</c:v>
                </c:pt>
                <c:pt idx="331">
                  <c:v>-3.3714823774000001E-2</c:v>
                </c:pt>
                <c:pt idx="332">
                  <c:v>-3.2910803682000001E-2</c:v>
                </c:pt>
                <c:pt idx="333">
                  <c:v>-3.210678359E-2</c:v>
                </c:pt>
                <c:pt idx="334">
                  <c:v>-3.5322863958000002E-2</c:v>
                </c:pt>
                <c:pt idx="335">
                  <c:v>-3.4518843866000001E-2</c:v>
                </c:pt>
                <c:pt idx="336">
                  <c:v>-3.5322863958000002E-2</c:v>
                </c:pt>
                <c:pt idx="337">
                  <c:v>-3.4518843866000001E-2</c:v>
                </c:pt>
                <c:pt idx="338">
                  <c:v>-3.4518843866000001E-2</c:v>
                </c:pt>
                <c:pt idx="339">
                  <c:v>-3.4518843866000001E-2</c:v>
                </c:pt>
                <c:pt idx="340">
                  <c:v>-3.3714823774000001E-2</c:v>
                </c:pt>
                <c:pt idx="341">
                  <c:v>-3.9342964416999998E-2</c:v>
                </c:pt>
                <c:pt idx="342">
                  <c:v>-3.7734924232999997E-2</c:v>
                </c:pt>
                <c:pt idx="343">
                  <c:v>-3.4518843866000001E-2</c:v>
                </c:pt>
                <c:pt idx="344">
                  <c:v>-3.4518843866000001E-2</c:v>
                </c:pt>
                <c:pt idx="345">
                  <c:v>-3.4518843866000001E-2</c:v>
                </c:pt>
                <c:pt idx="346">
                  <c:v>-3.6126884050000002E-2</c:v>
                </c:pt>
                <c:pt idx="347">
                  <c:v>-3.5322863958000002E-2</c:v>
                </c:pt>
                <c:pt idx="348">
                  <c:v>-3.4518843866000001E-2</c:v>
                </c:pt>
                <c:pt idx="349">
                  <c:v>-3.5322863958000002E-2</c:v>
                </c:pt>
                <c:pt idx="350">
                  <c:v>-3.7734924234000003E-2</c:v>
                </c:pt>
                <c:pt idx="351">
                  <c:v>-3.4518843866000001E-2</c:v>
                </c:pt>
                <c:pt idx="352">
                  <c:v>-3.6126884050000002E-2</c:v>
                </c:pt>
                <c:pt idx="353">
                  <c:v>-3.6126884050000002E-2</c:v>
                </c:pt>
                <c:pt idx="354">
                  <c:v>-3.3714823774000001E-2</c:v>
                </c:pt>
                <c:pt idx="355">
                  <c:v>-3.4518843866000001E-2</c:v>
                </c:pt>
                <c:pt idx="356">
                  <c:v>-3.6126884050000002E-2</c:v>
                </c:pt>
                <c:pt idx="357">
                  <c:v>-3.2910803682000001E-2</c:v>
                </c:pt>
                <c:pt idx="358">
                  <c:v>-3.4518843866000001E-2</c:v>
                </c:pt>
                <c:pt idx="359">
                  <c:v>-3.7734924234000003E-2</c:v>
                </c:pt>
                <c:pt idx="360">
                  <c:v>-3.210678359E-2</c:v>
                </c:pt>
                <c:pt idx="361">
                  <c:v>-3.8538944324999998E-2</c:v>
                </c:pt>
                <c:pt idx="362">
                  <c:v>-3.6126884050000002E-2</c:v>
                </c:pt>
                <c:pt idx="363">
                  <c:v>-3.210678359E-2</c:v>
                </c:pt>
                <c:pt idx="364">
                  <c:v>-3.2910803682000001E-2</c:v>
                </c:pt>
                <c:pt idx="365">
                  <c:v>-3.7734924232999997E-2</c:v>
                </c:pt>
                <c:pt idx="366">
                  <c:v>-3.6126884050000002E-2</c:v>
                </c:pt>
                <c:pt idx="367">
                  <c:v>-3.2910803682000001E-2</c:v>
                </c:pt>
                <c:pt idx="368">
                  <c:v>-3.4518843866000001E-2</c:v>
                </c:pt>
                <c:pt idx="369">
                  <c:v>-3.4518843866000001E-2</c:v>
                </c:pt>
                <c:pt idx="370">
                  <c:v>-3.6126884050000002E-2</c:v>
                </c:pt>
                <c:pt idx="371">
                  <c:v>-3.5322863958000002E-2</c:v>
                </c:pt>
                <c:pt idx="372">
                  <c:v>-3.6126884050000002E-2</c:v>
                </c:pt>
                <c:pt idx="373">
                  <c:v>-3.3714823774000001E-2</c:v>
                </c:pt>
                <c:pt idx="374">
                  <c:v>-3.4518843866000001E-2</c:v>
                </c:pt>
                <c:pt idx="375">
                  <c:v>-3.5322863958000002E-2</c:v>
                </c:pt>
                <c:pt idx="376">
                  <c:v>-3.3714823774000001E-2</c:v>
                </c:pt>
                <c:pt idx="377">
                  <c:v>-3.4518843866000001E-2</c:v>
                </c:pt>
                <c:pt idx="378">
                  <c:v>-3.210678359E-2</c:v>
                </c:pt>
                <c:pt idx="379">
                  <c:v>-3.4518843866000001E-2</c:v>
                </c:pt>
                <c:pt idx="380">
                  <c:v>-3.5322863958000002E-2</c:v>
                </c:pt>
                <c:pt idx="381">
                  <c:v>-2.9694723315000001E-2</c:v>
                </c:pt>
                <c:pt idx="382">
                  <c:v>-3.5322863958000002E-2</c:v>
                </c:pt>
                <c:pt idx="383">
                  <c:v>-3.1302763498E-2</c:v>
                </c:pt>
                <c:pt idx="384">
                  <c:v>-3.6930904142000003E-2</c:v>
                </c:pt>
                <c:pt idx="385">
                  <c:v>-3.2910803682000001E-2</c:v>
                </c:pt>
                <c:pt idx="386">
                  <c:v>-3.4518843866000001E-2</c:v>
                </c:pt>
                <c:pt idx="387">
                  <c:v>-3.2910803682000001E-2</c:v>
                </c:pt>
                <c:pt idx="388">
                  <c:v>-3.5322863958000002E-2</c:v>
                </c:pt>
                <c:pt idx="389">
                  <c:v>-3.210678359E-2</c:v>
                </c:pt>
                <c:pt idx="390">
                  <c:v>-3.2910803682000001E-2</c:v>
                </c:pt>
                <c:pt idx="391">
                  <c:v>-3.8538944324999998E-2</c:v>
                </c:pt>
                <c:pt idx="392">
                  <c:v>-3.3714823774000001E-2</c:v>
                </c:pt>
                <c:pt idx="393">
                  <c:v>-3.4518843866000001E-2</c:v>
                </c:pt>
                <c:pt idx="394">
                  <c:v>-3.4518843866000001E-2</c:v>
                </c:pt>
                <c:pt idx="395">
                  <c:v>-3.3714823774000001E-2</c:v>
                </c:pt>
                <c:pt idx="396">
                  <c:v>-3.5322863958000002E-2</c:v>
                </c:pt>
                <c:pt idx="397">
                  <c:v>-3.2910803682000001E-2</c:v>
                </c:pt>
                <c:pt idx="398">
                  <c:v>-3.2910803682000001E-2</c:v>
                </c:pt>
                <c:pt idx="399">
                  <c:v>-3.6930904142000003E-2</c:v>
                </c:pt>
                <c:pt idx="400">
                  <c:v>-3.4518843866000001E-2</c:v>
                </c:pt>
                <c:pt idx="401">
                  <c:v>-3.5322863958000002E-2</c:v>
                </c:pt>
                <c:pt idx="402">
                  <c:v>-3.2910803682000001E-2</c:v>
                </c:pt>
                <c:pt idx="403">
                  <c:v>-3.4518843866000001E-2</c:v>
                </c:pt>
                <c:pt idx="404">
                  <c:v>-3.4518843866000001E-2</c:v>
                </c:pt>
                <c:pt idx="405">
                  <c:v>-3.2910803682000001E-2</c:v>
                </c:pt>
                <c:pt idx="406">
                  <c:v>-3.4518843866000001E-2</c:v>
                </c:pt>
                <c:pt idx="407">
                  <c:v>-3.6126884050000002E-2</c:v>
                </c:pt>
                <c:pt idx="408">
                  <c:v>-3.4518843866000001E-2</c:v>
                </c:pt>
                <c:pt idx="409">
                  <c:v>-3.2910803682000001E-2</c:v>
                </c:pt>
                <c:pt idx="410">
                  <c:v>-3.3714823774000001E-2</c:v>
                </c:pt>
                <c:pt idx="411">
                  <c:v>-3.4518843866000001E-2</c:v>
                </c:pt>
                <c:pt idx="412">
                  <c:v>-3.2910803682000001E-2</c:v>
                </c:pt>
                <c:pt idx="413">
                  <c:v>-3.5322863958000002E-2</c:v>
                </c:pt>
                <c:pt idx="414">
                  <c:v>-3.3714823774000001E-2</c:v>
                </c:pt>
                <c:pt idx="415">
                  <c:v>-3.6126884050000002E-2</c:v>
                </c:pt>
                <c:pt idx="416">
                  <c:v>-3.2910803682000001E-2</c:v>
                </c:pt>
                <c:pt idx="417">
                  <c:v>-3.4518843866000001E-2</c:v>
                </c:pt>
                <c:pt idx="418">
                  <c:v>-3.210678359E-2</c:v>
                </c:pt>
                <c:pt idx="419">
                  <c:v>-3.0498743405999999E-2</c:v>
                </c:pt>
                <c:pt idx="420">
                  <c:v>-3.210678359E-2</c:v>
                </c:pt>
                <c:pt idx="421">
                  <c:v>-3.6930904142000003E-2</c:v>
                </c:pt>
                <c:pt idx="422">
                  <c:v>-2.9694723315000001E-2</c:v>
                </c:pt>
                <c:pt idx="423">
                  <c:v>-3.5322863958000002E-2</c:v>
                </c:pt>
                <c:pt idx="424">
                  <c:v>-3.1302763498E-2</c:v>
                </c:pt>
                <c:pt idx="425">
                  <c:v>-3.6930904142000003E-2</c:v>
                </c:pt>
                <c:pt idx="426">
                  <c:v>-3.2910803682000001E-2</c:v>
                </c:pt>
                <c:pt idx="427">
                  <c:v>-3.6126884050000002E-2</c:v>
                </c:pt>
                <c:pt idx="428">
                  <c:v>-3.2910803682000001E-2</c:v>
                </c:pt>
                <c:pt idx="429">
                  <c:v>-3.2910803682000001E-2</c:v>
                </c:pt>
                <c:pt idx="430">
                  <c:v>-3.4518843866000001E-2</c:v>
                </c:pt>
                <c:pt idx="431">
                  <c:v>-3.210678359E-2</c:v>
                </c:pt>
                <c:pt idx="432">
                  <c:v>-3.3714823774000001E-2</c:v>
                </c:pt>
                <c:pt idx="433">
                  <c:v>-3.210678359E-2</c:v>
                </c:pt>
                <c:pt idx="434">
                  <c:v>-3.210678359E-2</c:v>
                </c:pt>
                <c:pt idx="435">
                  <c:v>-3.3714823774000001E-2</c:v>
                </c:pt>
                <c:pt idx="436">
                  <c:v>-3.3714823774000001E-2</c:v>
                </c:pt>
                <c:pt idx="437">
                  <c:v>-3.3714823774000001E-2</c:v>
                </c:pt>
                <c:pt idx="438">
                  <c:v>-3.2910803682000001E-2</c:v>
                </c:pt>
                <c:pt idx="439">
                  <c:v>-3.2910803682000001E-2</c:v>
                </c:pt>
                <c:pt idx="440">
                  <c:v>-3.7734924232999997E-2</c:v>
                </c:pt>
                <c:pt idx="441">
                  <c:v>-3.2910803682000001E-2</c:v>
                </c:pt>
                <c:pt idx="442">
                  <c:v>-3.210678359E-2</c:v>
                </c:pt>
                <c:pt idx="443">
                  <c:v>-3.210678359E-2</c:v>
                </c:pt>
                <c:pt idx="444">
                  <c:v>-3.2910803682000001E-2</c:v>
                </c:pt>
                <c:pt idx="445">
                  <c:v>-3.4518843866000001E-2</c:v>
                </c:pt>
                <c:pt idx="446">
                  <c:v>-3.2910803682000001E-2</c:v>
                </c:pt>
                <c:pt idx="447">
                  <c:v>-3.4518843866000001E-2</c:v>
                </c:pt>
                <c:pt idx="448">
                  <c:v>-3.210678359E-2</c:v>
                </c:pt>
                <c:pt idx="449">
                  <c:v>-3.2910803682000001E-2</c:v>
                </c:pt>
                <c:pt idx="450">
                  <c:v>-3.0498743405999999E-2</c:v>
                </c:pt>
                <c:pt idx="451">
                  <c:v>-3.4518843866000001E-2</c:v>
                </c:pt>
                <c:pt idx="452">
                  <c:v>-3.3714823774000001E-2</c:v>
                </c:pt>
                <c:pt idx="453">
                  <c:v>-3.3714823774000001E-2</c:v>
                </c:pt>
                <c:pt idx="454">
                  <c:v>-3.6930904142000003E-2</c:v>
                </c:pt>
                <c:pt idx="455">
                  <c:v>-3.3714823774000001E-2</c:v>
                </c:pt>
                <c:pt idx="456">
                  <c:v>-3.2910803682000001E-2</c:v>
                </c:pt>
                <c:pt idx="457">
                  <c:v>-3.6126884050000002E-2</c:v>
                </c:pt>
                <c:pt idx="458">
                  <c:v>-3.5322863958000002E-2</c:v>
                </c:pt>
                <c:pt idx="459">
                  <c:v>-3.4518843866000001E-2</c:v>
                </c:pt>
                <c:pt idx="460">
                  <c:v>-3.7734924232999997E-2</c:v>
                </c:pt>
                <c:pt idx="461">
                  <c:v>-3.210678359E-2</c:v>
                </c:pt>
                <c:pt idx="462">
                  <c:v>-3.8538944324999998E-2</c:v>
                </c:pt>
                <c:pt idx="463">
                  <c:v>-3.1302763498E-2</c:v>
                </c:pt>
                <c:pt idx="464">
                  <c:v>-3.5322863958000002E-2</c:v>
                </c:pt>
                <c:pt idx="465">
                  <c:v>-3.2910803682000001E-2</c:v>
                </c:pt>
                <c:pt idx="466">
                  <c:v>-3.2910803682000001E-2</c:v>
                </c:pt>
                <c:pt idx="467">
                  <c:v>-3.2910803682000001E-2</c:v>
                </c:pt>
                <c:pt idx="468">
                  <c:v>-3.210678359E-2</c:v>
                </c:pt>
                <c:pt idx="469">
                  <c:v>-3.5322863958000002E-2</c:v>
                </c:pt>
                <c:pt idx="470">
                  <c:v>-3.3714823774000001E-2</c:v>
                </c:pt>
                <c:pt idx="471">
                  <c:v>-3.5322863958000002E-2</c:v>
                </c:pt>
                <c:pt idx="472">
                  <c:v>-3.0498743407000001E-2</c:v>
                </c:pt>
                <c:pt idx="473">
                  <c:v>-3.7734924232999997E-2</c:v>
                </c:pt>
                <c:pt idx="474">
                  <c:v>-3.210678359E-2</c:v>
                </c:pt>
                <c:pt idx="475">
                  <c:v>-3.4518843866000001E-2</c:v>
                </c:pt>
                <c:pt idx="476">
                  <c:v>-3.5322863958000002E-2</c:v>
                </c:pt>
                <c:pt idx="477">
                  <c:v>-3.5322863958000002E-2</c:v>
                </c:pt>
                <c:pt idx="478">
                  <c:v>-3.210678359E-2</c:v>
                </c:pt>
                <c:pt idx="479">
                  <c:v>-3.2910803682000001E-2</c:v>
                </c:pt>
                <c:pt idx="480">
                  <c:v>-3.3714823774000001E-2</c:v>
                </c:pt>
                <c:pt idx="481">
                  <c:v>-3.6930904142000003E-2</c:v>
                </c:pt>
                <c:pt idx="482">
                  <c:v>-3.210678359E-2</c:v>
                </c:pt>
                <c:pt idx="483">
                  <c:v>-3.1302763498E-2</c:v>
                </c:pt>
                <c:pt idx="484">
                  <c:v>-3.3714823774000001E-2</c:v>
                </c:pt>
                <c:pt idx="485">
                  <c:v>-3.210678359E-2</c:v>
                </c:pt>
                <c:pt idx="486">
                  <c:v>-3.2910803682000001E-2</c:v>
                </c:pt>
                <c:pt idx="487">
                  <c:v>-3.3714823774000001E-2</c:v>
                </c:pt>
                <c:pt idx="488">
                  <c:v>-3.4518843866000001E-2</c:v>
                </c:pt>
                <c:pt idx="489">
                  <c:v>-3.4518843866000001E-2</c:v>
                </c:pt>
                <c:pt idx="490">
                  <c:v>-3.3714823774000001E-2</c:v>
                </c:pt>
                <c:pt idx="491">
                  <c:v>-3.3714823774000001E-2</c:v>
                </c:pt>
                <c:pt idx="492">
                  <c:v>-3.5322863958000002E-2</c:v>
                </c:pt>
                <c:pt idx="493">
                  <c:v>-3.5322863958000002E-2</c:v>
                </c:pt>
                <c:pt idx="494">
                  <c:v>-3.8538944324999998E-2</c:v>
                </c:pt>
                <c:pt idx="495">
                  <c:v>-3.4518843866000001E-2</c:v>
                </c:pt>
                <c:pt idx="496">
                  <c:v>-3.4518843866000001E-2</c:v>
                </c:pt>
                <c:pt idx="497">
                  <c:v>-3.6126884050000002E-2</c:v>
                </c:pt>
                <c:pt idx="498">
                  <c:v>-3.4518843866000001E-2</c:v>
                </c:pt>
                <c:pt idx="499">
                  <c:v>-3.4518843866000001E-2</c:v>
                </c:pt>
                <c:pt idx="500">
                  <c:v>-3.4518843866000001E-2</c:v>
                </c:pt>
                <c:pt idx="501">
                  <c:v>-3.6930904142000003E-2</c:v>
                </c:pt>
                <c:pt idx="502">
                  <c:v>-3.6126884050000002E-2</c:v>
                </c:pt>
                <c:pt idx="503">
                  <c:v>-3.4518843866000001E-2</c:v>
                </c:pt>
                <c:pt idx="504">
                  <c:v>-3.4518843866000001E-2</c:v>
                </c:pt>
                <c:pt idx="505">
                  <c:v>-3.3714823774000001E-2</c:v>
                </c:pt>
                <c:pt idx="506">
                  <c:v>-3.2910803682000001E-2</c:v>
                </c:pt>
                <c:pt idx="507">
                  <c:v>-3.2910803682000001E-2</c:v>
                </c:pt>
                <c:pt idx="508">
                  <c:v>-3.210678359E-2</c:v>
                </c:pt>
                <c:pt idx="509">
                  <c:v>-3.2910803682000001E-2</c:v>
                </c:pt>
                <c:pt idx="510">
                  <c:v>-3.3714823774000001E-2</c:v>
                </c:pt>
                <c:pt idx="511">
                  <c:v>-3.6126884050000002E-2</c:v>
                </c:pt>
                <c:pt idx="512">
                  <c:v>-3.5322863958000002E-2</c:v>
                </c:pt>
                <c:pt idx="513">
                  <c:v>-3.4518843866000001E-2</c:v>
                </c:pt>
                <c:pt idx="514">
                  <c:v>-3.5322863958000002E-2</c:v>
                </c:pt>
                <c:pt idx="515">
                  <c:v>-3.5322863958000002E-2</c:v>
                </c:pt>
                <c:pt idx="516">
                  <c:v>-3.2910803682000001E-2</c:v>
                </c:pt>
                <c:pt idx="517">
                  <c:v>-3.3714823774000001E-2</c:v>
                </c:pt>
                <c:pt idx="518">
                  <c:v>-3.6930904142000003E-2</c:v>
                </c:pt>
                <c:pt idx="519">
                  <c:v>-3.4518843866000001E-2</c:v>
                </c:pt>
                <c:pt idx="520">
                  <c:v>-3.6930904142000003E-2</c:v>
                </c:pt>
                <c:pt idx="521">
                  <c:v>-3.2910803682000001E-2</c:v>
                </c:pt>
                <c:pt idx="522">
                  <c:v>-3.5322863958000002E-2</c:v>
                </c:pt>
                <c:pt idx="523">
                  <c:v>-3.6930904142000003E-2</c:v>
                </c:pt>
                <c:pt idx="524">
                  <c:v>-3.210678359E-2</c:v>
                </c:pt>
                <c:pt idx="525">
                  <c:v>-3.3714823774000001E-2</c:v>
                </c:pt>
                <c:pt idx="526">
                  <c:v>-3.4518843866000001E-2</c:v>
                </c:pt>
                <c:pt idx="527">
                  <c:v>-3.4518843866000001E-2</c:v>
                </c:pt>
                <c:pt idx="528">
                  <c:v>-3.1302763498E-2</c:v>
                </c:pt>
                <c:pt idx="529">
                  <c:v>-3.6930904142000003E-2</c:v>
                </c:pt>
                <c:pt idx="530">
                  <c:v>-3.2910803682000001E-2</c:v>
                </c:pt>
                <c:pt idx="531">
                  <c:v>-3.3714823774000001E-2</c:v>
                </c:pt>
                <c:pt idx="532">
                  <c:v>-3.210678359E-2</c:v>
                </c:pt>
                <c:pt idx="533">
                  <c:v>-3.5322863958000002E-2</c:v>
                </c:pt>
                <c:pt idx="534">
                  <c:v>-3.3714823774000001E-2</c:v>
                </c:pt>
                <c:pt idx="535">
                  <c:v>-3.5322863958000002E-2</c:v>
                </c:pt>
                <c:pt idx="536">
                  <c:v>-3.4518843866000001E-2</c:v>
                </c:pt>
                <c:pt idx="537">
                  <c:v>-3.2910803682000001E-2</c:v>
                </c:pt>
                <c:pt idx="538">
                  <c:v>-3.5322863958000002E-2</c:v>
                </c:pt>
                <c:pt idx="539">
                  <c:v>-3.2910803682000001E-2</c:v>
                </c:pt>
                <c:pt idx="540">
                  <c:v>-3.3714823774000001E-2</c:v>
                </c:pt>
                <c:pt idx="541">
                  <c:v>-3.2910803682000001E-2</c:v>
                </c:pt>
                <c:pt idx="542">
                  <c:v>-3.6930904142000003E-2</c:v>
                </c:pt>
                <c:pt idx="543">
                  <c:v>-3.1302763498E-2</c:v>
                </c:pt>
                <c:pt idx="544">
                  <c:v>-3.1302763498E-2</c:v>
                </c:pt>
                <c:pt idx="545">
                  <c:v>-3.4518843866000001E-2</c:v>
                </c:pt>
                <c:pt idx="546">
                  <c:v>-3.4518843866000001E-2</c:v>
                </c:pt>
                <c:pt idx="547">
                  <c:v>-3.2910803682000001E-2</c:v>
                </c:pt>
                <c:pt idx="548">
                  <c:v>-3.5322863958000002E-2</c:v>
                </c:pt>
                <c:pt idx="549">
                  <c:v>-3.3714823774000001E-2</c:v>
                </c:pt>
                <c:pt idx="550">
                  <c:v>-3.3714823774000001E-2</c:v>
                </c:pt>
                <c:pt idx="551">
                  <c:v>-3.210678359E-2</c:v>
                </c:pt>
                <c:pt idx="552">
                  <c:v>-3.4518843866000001E-2</c:v>
                </c:pt>
                <c:pt idx="553">
                  <c:v>-3.2910803682000001E-2</c:v>
                </c:pt>
                <c:pt idx="554">
                  <c:v>-3.210678359E-2</c:v>
                </c:pt>
                <c:pt idx="555">
                  <c:v>-3.210678359E-2</c:v>
                </c:pt>
                <c:pt idx="556">
                  <c:v>-2.8890703223000001E-2</c:v>
                </c:pt>
                <c:pt idx="557">
                  <c:v>-3.1302763498E-2</c:v>
                </c:pt>
                <c:pt idx="558">
                  <c:v>-2.8086683131E-2</c:v>
                </c:pt>
                <c:pt idx="559">
                  <c:v>-2.8890703223000001E-2</c:v>
                </c:pt>
                <c:pt idx="560">
                  <c:v>-2.6478642946999999E-2</c:v>
                </c:pt>
                <c:pt idx="561">
                  <c:v>-2.326256258E-2</c:v>
                </c:pt>
                <c:pt idx="562">
                  <c:v>-1.8438442028000001E-2</c:v>
                </c:pt>
                <c:pt idx="563">
                  <c:v>-1.9242462120000001E-2</c:v>
                </c:pt>
                <c:pt idx="564">
                  <c:v>-2.0850502303999999E-2</c:v>
                </c:pt>
                <c:pt idx="565">
                  <c:v>-1.6830401844E-2</c:v>
                </c:pt>
                <c:pt idx="566">
                  <c:v>-1.6026381752E-2</c:v>
                </c:pt>
                <c:pt idx="567">
                  <c:v>-1.2810301385E-2</c:v>
                </c:pt>
                <c:pt idx="568">
                  <c:v>-1.0398241109000001E-2</c:v>
                </c:pt>
                <c:pt idx="569">
                  <c:v>-4.7701004660000001E-3</c:v>
                </c:pt>
                <c:pt idx="570">
                  <c:v>-7.1821607419999996E-3</c:v>
                </c:pt>
                <c:pt idx="571">
                  <c:v>-3.1620602820000001E-3</c:v>
                </c:pt>
                <c:pt idx="572">
                  <c:v>-2.3580401900000002E-3</c:v>
                </c:pt>
                <c:pt idx="573">
                  <c:v>-7.5000000699999999E-4</c:v>
                </c:pt>
                <c:pt idx="574">
                  <c:v>8.5804017699999996E-4</c:v>
                </c:pt>
                <c:pt idx="575">
                  <c:v>2.4660803610000001E-3</c:v>
                </c:pt>
                <c:pt idx="576">
                  <c:v>7.290200912E-3</c:v>
                </c:pt>
                <c:pt idx="577">
                  <c:v>7.290200912E-3</c:v>
                </c:pt>
                <c:pt idx="578">
                  <c:v>9.7022611879999995E-3</c:v>
                </c:pt>
                <c:pt idx="579">
                  <c:v>9.7022611879999995E-3</c:v>
                </c:pt>
                <c:pt idx="580">
                  <c:v>1.2114321464000001E-2</c:v>
                </c:pt>
                <c:pt idx="581">
                  <c:v>1.5330401831E-2</c:v>
                </c:pt>
                <c:pt idx="582">
                  <c:v>1.3722361648E-2</c:v>
                </c:pt>
                <c:pt idx="583">
                  <c:v>1.6938442014999999E-2</c:v>
                </c:pt>
                <c:pt idx="584">
                  <c:v>1.6938442014999999E-2</c:v>
                </c:pt>
                <c:pt idx="585">
                  <c:v>1.9350502291E-2</c:v>
                </c:pt>
                <c:pt idx="586">
                  <c:v>1.5330401831E-2</c:v>
                </c:pt>
                <c:pt idx="587">
                  <c:v>1.8546482199E-2</c:v>
                </c:pt>
                <c:pt idx="588">
                  <c:v>1.6938442014999999E-2</c:v>
                </c:pt>
                <c:pt idx="589">
                  <c:v>1.6938442014999999E-2</c:v>
                </c:pt>
                <c:pt idx="590">
                  <c:v>1.7742462107E-2</c:v>
                </c:pt>
                <c:pt idx="591">
                  <c:v>1.6134421922999999E-2</c:v>
                </c:pt>
                <c:pt idx="592">
                  <c:v>1.7742462107E-2</c:v>
                </c:pt>
                <c:pt idx="593">
                  <c:v>1.6938442014999999E-2</c:v>
                </c:pt>
                <c:pt idx="594">
                  <c:v>1.3722361648E-2</c:v>
                </c:pt>
                <c:pt idx="595">
                  <c:v>1.6938442014999999E-2</c:v>
                </c:pt>
                <c:pt idx="596">
                  <c:v>1.2918341555999999E-2</c:v>
                </c:pt>
                <c:pt idx="597">
                  <c:v>1.8546482199E-2</c:v>
                </c:pt>
                <c:pt idx="598">
                  <c:v>1.6134421922999999E-2</c:v>
                </c:pt>
                <c:pt idx="599">
                  <c:v>1.7742462107E-2</c:v>
                </c:pt>
                <c:pt idx="600">
                  <c:v>1.2918341555999999E-2</c:v>
                </c:pt>
                <c:pt idx="601">
                  <c:v>1.3722361648E-2</c:v>
                </c:pt>
                <c:pt idx="602">
                  <c:v>1.5330401831E-2</c:v>
                </c:pt>
                <c:pt idx="603">
                  <c:v>1.7742462107E-2</c:v>
                </c:pt>
                <c:pt idx="604">
                  <c:v>1.6938442014999999E-2</c:v>
                </c:pt>
                <c:pt idx="605">
                  <c:v>1.8546482199E-2</c:v>
                </c:pt>
                <c:pt idx="606">
                  <c:v>1.3722361648E-2</c:v>
                </c:pt>
                <c:pt idx="607">
                  <c:v>1.9350502291E-2</c:v>
                </c:pt>
                <c:pt idx="608">
                  <c:v>1.8546482199E-2</c:v>
                </c:pt>
                <c:pt idx="609">
                  <c:v>2.0154522383000001E-2</c:v>
                </c:pt>
                <c:pt idx="610">
                  <c:v>1.9350502291E-2</c:v>
                </c:pt>
                <c:pt idx="611">
                  <c:v>1.7742462107E-2</c:v>
                </c:pt>
                <c:pt idx="612">
                  <c:v>2.0958542473999999E-2</c:v>
                </c:pt>
                <c:pt idx="613">
                  <c:v>2.0958542475000001E-2</c:v>
                </c:pt>
                <c:pt idx="614">
                  <c:v>2.0958542473999999E-2</c:v>
                </c:pt>
                <c:pt idx="615">
                  <c:v>2.0154522383000001E-2</c:v>
                </c:pt>
                <c:pt idx="616">
                  <c:v>2.4978642934000001E-2</c:v>
                </c:pt>
                <c:pt idx="617">
                  <c:v>2.4174622842000001E-2</c:v>
                </c:pt>
                <c:pt idx="618">
                  <c:v>1.8546482199E-2</c:v>
                </c:pt>
                <c:pt idx="619">
                  <c:v>2.2566582658E-2</c:v>
                </c:pt>
                <c:pt idx="620">
                  <c:v>2.1762562566E-2</c:v>
                </c:pt>
                <c:pt idx="621">
                  <c:v>2.337060275E-2</c:v>
                </c:pt>
                <c:pt idx="622">
                  <c:v>2.4978642934000001E-2</c:v>
                </c:pt>
                <c:pt idx="623">
                  <c:v>2.2566582658E-2</c:v>
                </c:pt>
                <c:pt idx="624">
                  <c:v>2.0958542475000001E-2</c:v>
                </c:pt>
                <c:pt idx="625">
                  <c:v>2.337060275E-2</c:v>
                </c:pt>
                <c:pt idx="626">
                  <c:v>2.1762562567000002E-2</c:v>
                </c:pt>
                <c:pt idx="627">
                  <c:v>2.0154522383000001E-2</c:v>
                </c:pt>
                <c:pt idx="628">
                  <c:v>2.0958542475000001E-2</c:v>
                </c:pt>
                <c:pt idx="629">
                  <c:v>2.1762562566E-2</c:v>
                </c:pt>
                <c:pt idx="630">
                  <c:v>2.4174622842000001E-2</c:v>
                </c:pt>
                <c:pt idx="631">
                  <c:v>2.337060275E-2</c:v>
                </c:pt>
                <c:pt idx="632">
                  <c:v>2.337060275E-2</c:v>
                </c:pt>
                <c:pt idx="633">
                  <c:v>2.1762562566E-2</c:v>
                </c:pt>
                <c:pt idx="634">
                  <c:v>1.6938442014999999E-2</c:v>
                </c:pt>
                <c:pt idx="635">
                  <c:v>2.4978642934000001E-2</c:v>
                </c:pt>
                <c:pt idx="636">
                  <c:v>2.2566582658E-2</c:v>
                </c:pt>
                <c:pt idx="637">
                  <c:v>2.337060275E-2</c:v>
                </c:pt>
                <c:pt idx="638">
                  <c:v>2.337060275E-2</c:v>
                </c:pt>
                <c:pt idx="639">
                  <c:v>2.1762562566E-2</c:v>
                </c:pt>
                <c:pt idx="640">
                  <c:v>2.1762562566E-2</c:v>
                </c:pt>
                <c:pt idx="641">
                  <c:v>2.5782663026000002E-2</c:v>
                </c:pt>
                <c:pt idx="642">
                  <c:v>2.337060275E-2</c:v>
                </c:pt>
                <c:pt idx="643">
                  <c:v>2.5782663026000002E-2</c:v>
                </c:pt>
                <c:pt idx="644">
                  <c:v>2.5782663026000002E-2</c:v>
                </c:pt>
                <c:pt idx="645">
                  <c:v>2.5782663026000002E-2</c:v>
                </c:pt>
                <c:pt idx="646">
                  <c:v>2.1762562566E-2</c:v>
                </c:pt>
                <c:pt idx="647">
                  <c:v>2.1762562566E-2</c:v>
                </c:pt>
                <c:pt idx="648">
                  <c:v>2.7390703209999999E-2</c:v>
                </c:pt>
                <c:pt idx="649">
                  <c:v>2.5782663026000002E-2</c:v>
                </c:pt>
                <c:pt idx="650">
                  <c:v>2.4174622842000001E-2</c:v>
                </c:pt>
                <c:pt idx="651">
                  <c:v>2.6586683117999999E-2</c:v>
                </c:pt>
                <c:pt idx="652">
                  <c:v>2.5782663026000002E-2</c:v>
                </c:pt>
                <c:pt idx="653">
                  <c:v>2.8194723301000001E-2</c:v>
                </c:pt>
                <c:pt idx="654">
                  <c:v>2.7390703209999999E-2</c:v>
                </c:pt>
                <c:pt idx="655">
                  <c:v>2.7390703209999999E-2</c:v>
                </c:pt>
                <c:pt idx="656">
                  <c:v>2.9802763485000001E-2</c:v>
                </c:pt>
                <c:pt idx="657">
                  <c:v>2.9802763485000001E-2</c:v>
                </c:pt>
                <c:pt idx="658">
                  <c:v>2.8194723301999999E-2</c:v>
                </c:pt>
                <c:pt idx="659">
                  <c:v>2.8998743394E-2</c:v>
                </c:pt>
                <c:pt idx="660">
                  <c:v>2.8194723301999999E-2</c:v>
                </c:pt>
                <c:pt idx="661">
                  <c:v>2.8194723301000001E-2</c:v>
                </c:pt>
                <c:pt idx="662">
                  <c:v>2.8998743393000001E-2</c:v>
                </c:pt>
                <c:pt idx="663">
                  <c:v>2.8998743393000001E-2</c:v>
                </c:pt>
                <c:pt idx="664">
                  <c:v>2.8194723301000001E-2</c:v>
                </c:pt>
                <c:pt idx="665">
                  <c:v>3.0606783576999998E-2</c:v>
                </c:pt>
                <c:pt idx="666">
                  <c:v>2.8998743393000001E-2</c:v>
                </c:pt>
                <c:pt idx="667">
                  <c:v>2.7390703209999999E-2</c:v>
                </c:pt>
                <c:pt idx="668">
                  <c:v>2.9802763485000001E-2</c:v>
                </c:pt>
                <c:pt idx="669">
                  <c:v>2.4978642934000001E-2</c:v>
                </c:pt>
                <c:pt idx="670">
                  <c:v>2.6586683117999999E-2</c:v>
                </c:pt>
                <c:pt idx="671">
                  <c:v>2.8194723301999999E-2</c:v>
                </c:pt>
                <c:pt idx="672">
                  <c:v>2.8194723301999999E-2</c:v>
                </c:pt>
                <c:pt idx="673">
                  <c:v>2.8194723301000001E-2</c:v>
                </c:pt>
                <c:pt idx="674">
                  <c:v>3.0606783576999998E-2</c:v>
                </c:pt>
                <c:pt idx="675">
                  <c:v>2.8998743394E-2</c:v>
                </c:pt>
                <c:pt idx="676">
                  <c:v>2.7390703209999999E-2</c:v>
                </c:pt>
                <c:pt idx="677">
                  <c:v>2.9802763485000001E-2</c:v>
                </c:pt>
                <c:pt idx="678">
                  <c:v>2.7390703209999999E-2</c:v>
                </c:pt>
                <c:pt idx="679">
                  <c:v>2.8998743393000001E-2</c:v>
                </c:pt>
                <c:pt idx="680">
                  <c:v>2.9802763485000001E-2</c:v>
                </c:pt>
                <c:pt idx="681">
                  <c:v>2.6586683117999999E-2</c:v>
                </c:pt>
                <c:pt idx="682">
                  <c:v>2.8998743394E-2</c:v>
                </c:pt>
                <c:pt idx="683">
                  <c:v>2.9802763485000001E-2</c:v>
                </c:pt>
                <c:pt idx="684">
                  <c:v>2.8998743393000001E-2</c:v>
                </c:pt>
                <c:pt idx="685">
                  <c:v>2.9802763485000001E-2</c:v>
                </c:pt>
                <c:pt idx="686">
                  <c:v>2.8194723301999999E-2</c:v>
                </c:pt>
                <c:pt idx="687">
                  <c:v>2.9802763485000001E-2</c:v>
                </c:pt>
                <c:pt idx="688">
                  <c:v>3.0606783576999998E-2</c:v>
                </c:pt>
                <c:pt idx="689">
                  <c:v>3.0606783576999998E-2</c:v>
                </c:pt>
                <c:pt idx="690">
                  <c:v>2.8194723301000001E-2</c:v>
                </c:pt>
                <c:pt idx="691">
                  <c:v>3.0606783576999998E-2</c:v>
                </c:pt>
                <c:pt idx="692">
                  <c:v>2.7390703209999999E-2</c:v>
                </c:pt>
                <c:pt idx="693">
                  <c:v>2.8998743393000001E-2</c:v>
                </c:pt>
                <c:pt idx="694">
                  <c:v>2.6586683117999999E-2</c:v>
                </c:pt>
                <c:pt idx="695">
                  <c:v>2.9802763485000001E-2</c:v>
                </c:pt>
                <c:pt idx="696">
                  <c:v>2.8194723301999999E-2</c:v>
                </c:pt>
                <c:pt idx="697">
                  <c:v>2.8998743393000001E-2</c:v>
                </c:pt>
                <c:pt idx="698">
                  <c:v>2.8194723301999999E-2</c:v>
                </c:pt>
                <c:pt idx="699">
                  <c:v>2.9802763485000001E-2</c:v>
                </c:pt>
                <c:pt idx="700">
                  <c:v>2.5782663026000002E-2</c:v>
                </c:pt>
                <c:pt idx="701">
                  <c:v>2.9802763485000001E-2</c:v>
                </c:pt>
                <c:pt idx="702">
                  <c:v>2.8194723301999999E-2</c:v>
                </c:pt>
                <c:pt idx="703">
                  <c:v>2.9802763485000001E-2</c:v>
                </c:pt>
                <c:pt idx="704">
                  <c:v>2.7390703209999999E-2</c:v>
                </c:pt>
                <c:pt idx="705">
                  <c:v>2.8998743393000001E-2</c:v>
                </c:pt>
                <c:pt idx="706">
                  <c:v>2.8998743393000001E-2</c:v>
                </c:pt>
                <c:pt idx="707">
                  <c:v>2.8998743394E-2</c:v>
                </c:pt>
                <c:pt idx="708">
                  <c:v>2.8194723301999999E-2</c:v>
                </c:pt>
                <c:pt idx="709">
                  <c:v>2.7390703209999999E-2</c:v>
                </c:pt>
                <c:pt idx="710">
                  <c:v>2.9802763485000001E-2</c:v>
                </c:pt>
                <c:pt idx="711">
                  <c:v>2.7390703209999999E-2</c:v>
                </c:pt>
                <c:pt idx="712">
                  <c:v>2.7390703209999999E-2</c:v>
                </c:pt>
                <c:pt idx="713">
                  <c:v>2.8998743393000001E-2</c:v>
                </c:pt>
                <c:pt idx="714">
                  <c:v>2.9802763485000001E-2</c:v>
                </c:pt>
                <c:pt idx="715">
                  <c:v>2.7390703209999999E-2</c:v>
                </c:pt>
                <c:pt idx="716">
                  <c:v>2.7390703209999999E-2</c:v>
                </c:pt>
                <c:pt idx="717">
                  <c:v>2.8194723301999999E-2</c:v>
                </c:pt>
                <c:pt idx="718">
                  <c:v>2.9802763485000001E-2</c:v>
                </c:pt>
                <c:pt idx="719">
                  <c:v>3.1410803669000002E-2</c:v>
                </c:pt>
                <c:pt idx="720">
                  <c:v>2.9802763485000001E-2</c:v>
                </c:pt>
                <c:pt idx="721">
                  <c:v>2.8998743393000001E-2</c:v>
                </c:pt>
                <c:pt idx="722">
                  <c:v>2.9802763485000001E-2</c:v>
                </c:pt>
                <c:pt idx="723">
                  <c:v>3.1410803669000002E-2</c:v>
                </c:pt>
                <c:pt idx="724">
                  <c:v>2.9802763485000001E-2</c:v>
                </c:pt>
                <c:pt idx="725">
                  <c:v>2.9802763485000001E-2</c:v>
                </c:pt>
                <c:pt idx="726">
                  <c:v>3.3822863944999997E-2</c:v>
                </c:pt>
                <c:pt idx="727">
                  <c:v>3.2214823761000003E-2</c:v>
                </c:pt>
                <c:pt idx="728">
                  <c:v>3.0606783576999998E-2</c:v>
                </c:pt>
                <c:pt idx="729">
                  <c:v>3.1410803669000002E-2</c:v>
                </c:pt>
                <c:pt idx="730">
                  <c:v>3.1410803669000002E-2</c:v>
                </c:pt>
                <c:pt idx="731">
                  <c:v>3.0606783576999998E-2</c:v>
                </c:pt>
                <c:pt idx="732">
                  <c:v>3.0606783576999998E-2</c:v>
                </c:pt>
                <c:pt idx="733">
                  <c:v>3.3018843853000003E-2</c:v>
                </c:pt>
                <c:pt idx="734">
                  <c:v>3.0606783576999998E-2</c:v>
                </c:pt>
                <c:pt idx="735">
                  <c:v>3.1410803669000002E-2</c:v>
                </c:pt>
                <c:pt idx="736">
                  <c:v>3.3018843853000003E-2</c:v>
                </c:pt>
                <c:pt idx="737">
                  <c:v>3.0606783576999998E-2</c:v>
                </c:pt>
                <c:pt idx="738">
                  <c:v>3.1410803669000002E-2</c:v>
                </c:pt>
                <c:pt idx="739">
                  <c:v>2.8194723301999999E-2</c:v>
                </c:pt>
                <c:pt idx="740">
                  <c:v>3.1410803669000002E-2</c:v>
                </c:pt>
                <c:pt idx="741">
                  <c:v>3.2214823761000003E-2</c:v>
                </c:pt>
                <c:pt idx="742">
                  <c:v>2.8998743394E-2</c:v>
                </c:pt>
                <c:pt idx="743">
                  <c:v>3.4626884036999997E-2</c:v>
                </c:pt>
                <c:pt idx="744">
                  <c:v>2.8998743393000001E-2</c:v>
                </c:pt>
                <c:pt idx="745">
                  <c:v>3.4626884036999997E-2</c:v>
                </c:pt>
                <c:pt idx="746">
                  <c:v>3.2214823761000003E-2</c:v>
                </c:pt>
                <c:pt idx="747">
                  <c:v>3.4626884036999997E-2</c:v>
                </c:pt>
                <c:pt idx="748">
                  <c:v>3.1410803669000002E-2</c:v>
                </c:pt>
                <c:pt idx="749">
                  <c:v>2.9802763485000001E-2</c:v>
                </c:pt>
                <c:pt idx="750">
                  <c:v>3.0606783576999998E-2</c:v>
                </c:pt>
                <c:pt idx="751">
                  <c:v>3.3018843853000003E-2</c:v>
                </c:pt>
                <c:pt idx="752">
                  <c:v>3.3822863944999997E-2</c:v>
                </c:pt>
                <c:pt idx="753">
                  <c:v>3.0606783576999998E-2</c:v>
                </c:pt>
                <c:pt idx="754">
                  <c:v>3.4626884036999997E-2</c:v>
                </c:pt>
                <c:pt idx="755">
                  <c:v>3.2214823761000003E-2</c:v>
                </c:pt>
                <c:pt idx="756">
                  <c:v>3.1410803669000002E-2</c:v>
                </c:pt>
                <c:pt idx="757">
                  <c:v>2.9802763485000001E-2</c:v>
                </c:pt>
                <c:pt idx="758">
                  <c:v>3.3822863944999997E-2</c:v>
                </c:pt>
                <c:pt idx="759">
                  <c:v>3.3018843853000003E-2</c:v>
                </c:pt>
                <c:pt idx="760">
                  <c:v>2.9802763485000001E-2</c:v>
                </c:pt>
                <c:pt idx="761">
                  <c:v>3.3018843853000003E-2</c:v>
                </c:pt>
                <c:pt idx="762">
                  <c:v>2.9802763485000001E-2</c:v>
                </c:pt>
                <c:pt idx="763">
                  <c:v>3.2214823761000003E-2</c:v>
                </c:pt>
                <c:pt idx="764">
                  <c:v>3.2214823761000003E-2</c:v>
                </c:pt>
                <c:pt idx="765">
                  <c:v>3.1410803669000002E-2</c:v>
                </c:pt>
                <c:pt idx="766">
                  <c:v>3.1410803669000002E-2</c:v>
                </c:pt>
                <c:pt idx="767">
                  <c:v>3.1410803669000002E-2</c:v>
                </c:pt>
                <c:pt idx="768">
                  <c:v>3.3018843853000003E-2</c:v>
                </c:pt>
                <c:pt idx="769">
                  <c:v>3.3018843853000003E-2</c:v>
                </c:pt>
                <c:pt idx="770">
                  <c:v>3.3822863944999997E-2</c:v>
                </c:pt>
                <c:pt idx="771">
                  <c:v>3.0606783576999998E-2</c:v>
                </c:pt>
                <c:pt idx="772">
                  <c:v>3.3018843853000003E-2</c:v>
                </c:pt>
                <c:pt idx="773">
                  <c:v>3.3018843853000003E-2</c:v>
                </c:pt>
                <c:pt idx="774">
                  <c:v>2.9802763485000001E-2</c:v>
                </c:pt>
                <c:pt idx="775">
                  <c:v>3.2214823761000003E-2</c:v>
                </c:pt>
                <c:pt idx="776">
                  <c:v>3.4626884036999997E-2</c:v>
                </c:pt>
                <c:pt idx="777">
                  <c:v>3.0606783576999998E-2</c:v>
                </c:pt>
                <c:pt idx="778">
                  <c:v>3.2214823761000003E-2</c:v>
                </c:pt>
                <c:pt idx="779">
                  <c:v>3.2214823761000003E-2</c:v>
                </c:pt>
                <c:pt idx="780">
                  <c:v>3.0606783576999998E-2</c:v>
                </c:pt>
                <c:pt idx="781">
                  <c:v>3.2214823761000003E-2</c:v>
                </c:pt>
                <c:pt idx="782">
                  <c:v>2.9802763485000001E-2</c:v>
                </c:pt>
                <c:pt idx="783">
                  <c:v>3.1410803669000002E-2</c:v>
                </c:pt>
                <c:pt idx="784">
                  <c:v>3.1410803669000002E-2</c:v>
                </c:pt>
                <c:pt idx="785">
                  <c:v>3.1410803669000002E-2</c:v>
                </c:pt>
                <c:pt idx="786">
                  <c:v>3.0606783576999998E-2</c:v>
                </c:pt>
                <c:pt idx="787">
                  <c:v>2.8998743394E-2</c:v>
                </c:pt>
                <c:pt idx="788">
                  <c:v>3.3018843853000003E-2</c:v>
                </c:pt>
                <c:pt idx="789">
                  <c:v>3.3018843853000003E-2</c:v>
                </c:pt>
                <c:pt idx="790">
                  <c:v>3.2214823761000003E-2</c:v>
                </c:pt>
                <c:pt idx="791">
                  <c:v>2.9802763485000001E-2</c:v>
                </c:pt>
                <c:pt idx="792">
                  <c:v>3.2214823761000003E-2</c:v>
                </c:pt>
                <c:pt idx="793">
                  <c:v>2.9802763485000001E-2</c:v>
                </c:pt>
                <c:pt idx="794">
                  <c:v>3.3018843853000003E-2</c:v>
                </c:pt>
                <c:pt idx="795">
                  <c:v>2.8998743394E-2</c:v>
                </c:pt>
                <c:pt idx="796">
                  <c:v>3.0606783576999998E-2</c:v>
                </c:pt>
                <c:pt idx="797">
                  <c:v>3.0606783576999998E-2</c:v>
                </c:pt>
                <c:pt idx="798">
                  <c:v>3.0606783576999998E-2</c:v>
                </c:pt>
                <c:pt idx="799">
                  <c:v>3.3822863944999997E-2</c:v>
                </c:pt>
                <c:pt idx="800">
                  <c:v>3.3822863944999997E-2</c:v>
                </c:pt>
                <c:pt idx="801">
                  <c:v>3.0606783576999998E-2</c:v>
                </c:pt>
                <c:pt idx="802">
                  <c:v>3.2214823761000003E-2</c:v>
                </c:pt>
                <c:pt idx="803">
                  <c:v>3.5430904128999997E-2</c:v>
                </c:pt>
                <c:pt idx="804">
                  <c:v>3.3822863944999997E-2</c:v>
                </c:pt>
                <c:pt idx="805">
                  <c:v>3.0606783576999998E-2</c:v>
                </c:pt>
                <c:pt idx="806">
                  <c:v>3.1410803669000002E-2</c:v>
                </c:pt>
                <c:pt idx="807">
                  <c:v>3.1410803669000002E-2</c:v>
                </c:pt>
                <c:pt idx="808">
                  <c:v>3.2214823761000003E-2</c:v>
                </c:pt>
                <c:pt idx="809">
                  <c:v>3.0606783576999998E-2</c:v>
                </c:pt>
                <c:pt idx="810">
                  <c:v>3.2214823761000003E-2</c:v>
                </c:pt>
                <c:pt idx="811">
                  <c:v>3.0606783576999998E-2</c:v>
                </c:pt>
                <c:pt idx="812">
                  <c:v>3.1410803669000002E-2</c:v>
                </c:pt>
                <c:pt idx="813">
                  <c:v>3.0606783576999998E-2</c:v>
                </c:pt>
                <c:pt idx="814">
                  <c:v>3.1410803669000002E-2</c:v>
                </c:pt>
                <c:pt idx="815">
                  <c:v>3.2214823761000003E-2</c:v>
                </c:pt>
                <c:pt idx="816">
                  <c:v>3.0606783576999998E-2</c:v>
                </c:pt>
                <c:pt idx="817">
                  <c:v>2.9802763485000001E-2</c:v>
                </c:pt>
                <c:pt idx="818">
                  <c:v>3.1410803669000002E-2</c:v>
                </c:pt>
                <c:pt idx="819">
                  <c:v>3.2214823761000003E-2</c:v>
                </c:pt>
                <c:pt idx="820">
                  <c:v>2.6586683117999999E-2</c:v>
                </c:pt>
                <c:pt idx="821">
                  <c:v>3.0606783576999998E-2</c:v>
                </c:pt>
                <c:pt idx="822">
                  <c:v>3.0606783576999998E-2</c:v>
                </c:pt>
                <c:pt idx="823">
                  <c:v>3.3018843853000003E-2</c:v>
                </c:pt>
                <c:pt idx="824">
                  <c:v>3.4626884036999997E-2</c:v>
                </c:pt>
                <c:pt idx="825">
                  <c:v>2.8194723301999999E-2</c:v>
                </c:pt>
                <c:pt idx="826">
                  <c:v>3.1410803669000002E-2</c:v>
                </c:pt>
                <c:pt idx="827">
                  <c:v>3.0606783576999998E-2</c:v>
                </c:pt>
                <c:pt idx="828">
                  <c:v>3.1410803669000002E-2</c:v>
                </c:pt>
                <c:pt idx="829">
                  <c:v>2.9802763485000001E-2</c:v>
                </c:pt>
                <c:pt idx="830">
                  <c:v>3.1410803669000002E-2</c:v>
                </c:pt>
                <c:pt idx="831">
                  <c:v>3.1410803669000002E-2</c:v>
                </c:pt>
                <c:pt idx="832">
                  <c:v>2.9802763485000001E-2</c:v>
                </c:pt>
                <c:pt idx="833">
                  <c:v>3.3822863944999997E-2</c:v>
                </c:pt>
                <c:pt idx="834">
                  <c:v>2.8998743393000001E-2</c:v>
                </c:pt>
                <c:pt idx="835">
                  <c:v>3.3018843853000003E-2</c:v>
                </c:pt>
                <c:pt idx="836">
                  <c:v>3.3822863944999997E-2</c:v>
                </c:pt>
                <c:pt idx="837">
                  <c:v>3.4626884036999997E-2</c:v>
                </c:pt>
                <c:pt idx="838">
                  <c:v>3.3018843853000003E-2</c:v>
                </c:pt>
                <c:pt idx="839">
                  <c:v>2.8998743393000001E-2</c:v>
                </c:pt>
                <c:pt idx="840">
                  <c:v>3.5430904128999997E-2</c:v>
                </c:pt>
                <c:pt idx="841">
                  <c:v>3.0606783576999998E-2</c:v>
                </c:pt>
                <c:pt idx="842">
                  <c:v>2.9802763485000001E-2</c:v>
                </c:pt>
                <c:pt idx="843">
                  <c:v>2.9802763485000001E-2</c:v>
                </c:pt>
                <c:pt idx="844">
                  <c:v>3.3018843853000003E-2</c:v>
                </c:pt>
                <c:pt idx="845">
                  <c:v>3.2214823761000003E-2</c:v>
                </c:pt>
                <c:pt idx="846">
                  <c:v>3.2214823761000003E-2</c:v>
                </c:pt>
                <c:pt idx="847">
                  <c:v>3.1410803669000002E-2</c:v>
                </c:pt>
                <c:pt idx="848">
                  <c:v>2.9802763485000001E-2</c:v>
                </c:pt>
                <c:pt idx="849">
                  <c:v>3.1410803669000002E-2</c:v>
                </c:pt>
                <c:pt idx="850">
                  <c:v>2.8998743393000001E-2</c:v>
                </c:pt>
                <c:pt idx="851">
                  <c:v>3.1410803669000002E-2</c:v>
                </c:pt>
                <c:pt idx="852">
                  <c:v>3.2214823761000003E-2</c:v>
                </c:pt>
                <c:pt idx="853">
                  <c:v>2.9802763485000001E-2</c:v>
                </c:pt>
                <c:pt idx="854">
                  <c:v>2.8998743393000001E-2</c:v>
                </c:pt>
                <c:pt idx="855">
                  <c:v>3.1410803669000002E-2</c:v>
                </c:pt>
                <c:pt idx="856">
                  <c:v>2.9802763485000001E-2</c:v>
                </c:pt>
                <c:pt idx="857">
                  <c:v>2.7390703209999999E-2</c:v>
                </c:pt>
                <c:pt idx="858">
                  <c:v>2.9802763485000001E-2</c:v>
                </c:pt>
                <c:pt idx="859">
                  <c:v>2.8998743394E-2</c:v>
                </c:pt>
                <c:pt idx="860">
                  <c:v>2.9802763485000001E-2</c:v>
                </c:pt>
                <c:pt idx="861">
                  <c:v>2.9802763485000001E-2</c:v>
                </c:pt>
                <c:pt idx="862">
                  <c:v>2.9802763485000001E-2</c:v>
                </c:pt>
                <c:pt idx="863">
                  <c:v>3.0606783576999998E-2</c:v>
                </c:pt>
                <c:pt idx="864">
                  <c:v>2.9802763485000001E-2</c:v>
                </c:pt>
                <c:pt idx="865">
                  <c:v>3.2214823761000003E-2</c:v>
                </c:pt>
                <c:pt idx="866">
                  <c:v>2.8194723301999999E-2</c:v>
                </c:pt>
                <c:pt idx="867">
                  <c:v>3.3018843853000003E-2</c:v>
                </c:pt>
                <c:pt idx="868">
                  <c:v>2.9802763485000001E-2</c:v>
                </c:pt>
                <c:pt idx="869">
                  <c:v>3.0606783576999998E-2</c:v>
                </c:pt>
                <c:pt idx="870">
                  <c:v>3.0606783576999998E-2</c:v>
                </c:pt>
                <c:pt idx="871">
                  <c:v>2.9802763485000001E-2</c:v>
                </c:pt>
                <c:pt idx="872">
                  <c:v>2.9802763485000001E-2</c:v>
                </c:pt>
                <c:pt idx="873">
                  <c:v>3.3822863944999997E-2</c:v>
                </c:pt>
                <c:pt idx="874">
                  <c:v>3.1410803669000002E-2</c:v>
                </c:pt>
                <c:pt idx="875">
                  <c:v>3.0606783576999998E-2</c:v>
                </c:pt>
                <c:pt idx="876">
                  <c:v>2.8998743393000001E-2</c:v>
                </c:pt>
                <c:pt idx="877">
                  <c:v>3.4626884036999997E-2</c:v>
                </c:pt>
                <c:pt idx="878">
                  <c:v>3.2214823761000003E-2</c:v>
                </c:pt>
                <c:pt idx="879">
                  <c:v>3.3822863944999997E-2</c:v>
                </c:pt>
                <c:pt idx="880">
                  <c:v>3.0606783576999998E-2</c:v>
                </c:pt>
                <c:pt idx="881">
                  <c:v>3.3018843853000003E-2</c:v>
                </c:pt>
                <c:pt idx="882">
                  <c:v>3.1410803669000002E-2</c:v>
                </c:pt>
                <c:pt idx="883">
                  <c:v>2.9802763485000001E-2</c:v>
                </c:pt>
                <c:pt idx="884">
                  <c:v>2.8998743393000001E-2</c:v>
                </c:pt>
                <c:pt idx="885">
                  <c:v>3.3018843853000003E-2</c:v>
                </c:pt>
                <c:pt idx="886">
                  <c:v>3.1410803669000002E-2</c:v>
                </c:pt>
                <c:pt idx="887">
                  <c:v>2.9802763485000001E-2</c:v>
                </c:pt>
                <c:pt idx="888">
                  <c:v>3.1410803669000002E-2</c:v>
                </c:pt>
                <c:pt idx="889">
                  <c:v>2.9802763485000001E-2</c:v>
                </c:pt>
                <c:pt idx="890">
                  <c:v>3.1410803669000002E-2</c:v>
                </c:pt>
                <c:pt idx="891">
                  <c:v>3.4626884035999998E-2</c:v>
                </c:pt>
                <c:pt idx="892">
                  <c:v>3.2214823761000003E-2</c:v>
                </c:pt>
                <c:pt idx="893">
                  <c:v>3.2214823761000003E-2</c:v>
                </c:pt>
                <c:pt idx="894">
                  <c:v>2.9802763486E-2</c:v>
                </c:pt>
                <c:pt idx="895">
                  <c:v>3.4626884036999997E-2</c:v>
                </c:pt>
                <c:pt idx="896">
                  <c:v>3.3822863944999997E-2</c:v>
                </c:pt>
                <c:pt idx="897">
                  <c:v>2.9802763485000001E-2</c:v>
                </c:pt>
                <c:pt idx="898">
                  <c:v>3.1410803669000002E-2</c:v>
                </c:pt>
                <c:pt idx="899">
                  <c:v>3.1410803669000002E-2</c:v>
                </c:pt>
                <c:pt idx="900">
                  <c:v>3.3018843853000003E-2</c:v>
                </c:pt>
                <c:pt idx="901">
                  <c:v>2.7390703209999999E-2</c:v>
                </c:pt>
                <c:pt idx="902">
                  <c:v>3.4626884036999997E-2</c:v>
                </c:pt>
                <c:pt idx="903">
                  <c:v>3.2214823761000003E-2</c:v>
                </c:pt>
                <c:pt idx="904">
                  <c:v>3.2214823761000003E-2</c:v>
                </c:pt>
                <c:pt idx="905">
                  <c:v>3.1410803669000002E-2</c:v>
                </c:pt>
                <c:pt idx="906">
                  <c:v>3.2214823761000003E-2</c:v>
                </c:pt>
                <c:pt idx="907">
                  <c:v>3.5430904128999997E-2</c:v>
                </c:pt>
                <c:pt idx="908">
                  <c:v>3.1410803669000002E-2</c:v>
                </c:pt>
                <c:pt idx="909">
                  <c:v>3.3822863944999997E-2</c:v>
                </c:pt>
                <c:pt idx="910">
                  <c:v>3.1410803669000002E-2</c:v>
                </c:pt>
                <c:pt idx="911">
                  <c:v>3.3822863944999997E-2</c:v>
                </c:pt>
                <c:pt idx="912">
                  <c:v>3.1410803669000002E-2</c:v>
                </c:pt>
                <c:pt idx="913">
                  <c:v>3.3822863944999997E-2</c:v>
                </c:pt>
                <c:pt idx="914">
                  <c:v>2.8998743393000001E-2</c:v>
                </c:pt>
                <c:pt idx="915">
                  <c:v>3.0606783576999998E-2</c:v>
                </c:pt>
                <c:pt idx="916">
                  <c:v>3.0606783576999998E-2</c:v>
                </c:pt>
                <c:pt idx="917">
                  <c:v>3.1410803669000002E-2</c:v>
                </c:pt>
                <c:pt idx="918">
                  <c:v>3.3018843853000003E-2</c:v>
                </c:pt>
                <c:pt idx="919">
                  <c:v>3.2214823761000003E-2</c:v>
                </c:pt>
                <c:pt idx="920">
                  <c:v>3.2214823761000003E-2</c:v>
                </c:pt>
                <c:pt idx="921">
                  <c:v>2.9802763485000001E-2</c:v>
                </c:pt>
                <c:pt idx="922">
                  <c:v>3.0606783576999998E-2</c:v>
                </c:pt>
                <c:pt idx="923">
                  <c:v>2.9802763485000001E-2</c:v>
                </c:pt>
                <c:pt idx="924">
                  <c:v>2.8998743393000001E-2</c:v>
                </c:pt>
                <c:pt idx="925">
                  <c:v>2.9802763485000001E-2</c:v>
                </c:pt>
                <c:pt idx="926">
                  <c:v>3.2214823761000003E-2</c:v>
                </c:pt>
                <c:pt idx="927">
                  <c:v>3.2214823761000003E-2</c:v>
                </c:pt>
                <c:pt idx="928">
                  <c:v>2.9802763485000001E-2</c:v>
                </c:pt>
                <c:pt idx="929">
                  <c:v>3.1410803669000002E-2</c:v>
                </c:pt>
                <c:pt idx="930">
                  <c:v>2.9802763485000001E-2</c:v>
                </c:pt>
                <c:pt idx="931">
                  <c:v>2.8998743393000001E-2</c:v>
                </c:pt>
                <c:pt idx="932">
                  <c:v>3.2214823761000003E-2</c:v>
                </c:pt>
                <c:pt idx="933">
                  <c:v>3.1410803669000002E-2</c:v>
                </c:pt>
                <c:pt idx="934">
                  <c:v>3.2214823761000003E-2</c:v>
                </c:pt>
                <c:pt idx="935">
                  <c:v>3.1410803669000002E-2</c:v>
                </c:pt>
                <c:pt idx="936">
                  <c:v>3.2214823761000003E-2</c:v>
                </c:pt>
                <c:pt idx="937">
                  <c:v>2.9802763485000001E-2</c:v>
                </c:pt>
                <c:pt idx="938">
                  <c:v>3.0606783576999998E-2</c:v>
                </c:pt>
                <c:pt idx="939">
                  <c:v>3.2214823761000003E-2</c:v>
                </c:pt>
                <c:pt idx="940">
                  <c:v>3.3018843853000003E-2</c:v>
                </c:pt>
                <c:pt idx="941">
                  <c:v>3.3018843853000003E-2</c:v>
                </c:pt>
                <c:pt idx="942">
                  <c:v>3.3018843853000003E-2</c:v>
                </c:pt>
                <c:pt idx="943">
                  <c:v>3.3822863944999997E-2</c:v>
                </c:pt>
                <c:pt idx="944">
                  <c:v>2.9802763485000001E-2</c:v>
                </c:pt>
                <c:pt idx="945">
                  <c:v>3.2214823761000003E-2</c:v>
                </c:pt>
                <c:pt idx="946">
                  <c:v>2.8998743393000001E-2</c:v>
                </c:pt>
                <c:pt idx="947">
                  <c:v>3.0606783576999998E-2</c:v>
                </c:pt>
                <c:pt idx="948">
                  <c:v>3.0606783576999998E-2</c:v>
                </c:pt>
                <c:pt idx="949">
                  <c:v>2.9802763485000001E-2</c:v>
                </c:pt>
                <c:pt idx="950">
                  <c:v>3.1410803669000002E-2</c:v>
                </c:pt>
                <c:pt idx="951">
                  <c:v>3.3822863944999997E-2</c:v>
                </c:pt>
                <c:pt idx="952">
                  <c:v>3.3018843853000003E-2</c:v>
                </c:pt>
                <c:pt idx="953">
                  <c:v>3.2214823761000003E-2</c:v>
                </c:pt>
                <c:pt idx="954">
                  <c:v>2.9802763485000001E-2</c:v>
                </c:pt>
                <c:pt idx="955">
                  <c:v>3.3018843853000003E-2</c:v>
                </c:pt>
                <c:pt idx="956">
                  <c:v>3.1410803669000002E-2</c:v>
                </c:pt>
                <c:pt idx="957">
                  <c:v>3.3822863944999997E-2</c:v>
                </c:pt>
                <c:pt idx="958">
                  <c:v>3.0606783576999998E-2</c:v>
                </c:pt>
                <c:pt idx="959">
                  <c:v>3.2214823761000003E-2</c:v>
                </c:pt>
                <c:pt idx="960">
                  <c:v>3.0606783576999998E-2</c:v>
                </c:pt>
                <c:pt idx="961">
                  <c:v>3.1410803669000002E-2</c:v>
                </c:pt>
                <c:pt idx="962">
                  <c:v>3.1410803669000002E-2</c:v>
                </c:pt>
                <c:pt idx="963">
                  <c:v>2.9802763485000001E-2</c:v>
                </c:pt>
                <c:pt idx="964">
                  <c:v>3.0606783576999998E-2</c:v>
                </c:pt>
                <c:pt idx="965">
                  <c:v>3.1410803669000002E-2</c:v>
                </c:pt>
                <c:pt idx="966">
                  <c:v>3.1410803669000002E-2</c:v>
                </c:pt>
                <c:pt idx="967">
                  <c:v>2.9802763485000001E-2</c:v>
                </c:pt>
                <c:pt idx="968">
                  <c:v>3.0606783576999998E-2</c:v>
                </c:pt>
                <c:pt idx="969">
                  <c:v>2.8194723301000001E-2</c:v>
                </c:pt>
                <c:pt idx="970">
                  <c:v>3.5430904128999997E-2</c:v>
                </c:pt>
                <c:pt idx="971">
                  <c:v>2.8998743394E-2</c:v>
                </c:pt>
                <c:pt idx="972">
                  <c:v>3.1410803669000002E-2</c:v>
                </c:pt>
                <c:pt idx="973">
                  <c:v>3.2214823761000003E-2</c:v>
                </c:pt>
                <c:pt idx="974">
                  <c:v>2.9802763485000001E-2</c:v>
                </c:pt>
                <c:pt idx="975">
                  <c:v>3.0606783576999998E-2</c:v>
                </c:pt>
                <c:pt idx="976">
                  <c:v>2.9802763485000001E-2</c:v>
                </c:pt>
                <c:pt idx="977">
                  <c:v>3.0606783576999998E-2</c:v>
                </c:pt>
                <c:pt idx="978">
                  <c:v>2.7390703209999999E-2</c:v>
                </c:pt>
                <c:pt idx="979">
                  <c:v>3.2214823761000003E-2</c:v>
                </c:pt>
                <c:pt idx="980">
                  <c:v>2.8194723301000001E-2</c:v>
                </c:pt>
                <c:pt idx="981">
                  <c:v>2.8194723301999999E-2</c:v>
                </c:pt>
                <c:pt idx="982">
                  <c:v>3.1410803669000002E-2</c:v>
                </c:pt>
                <c:pt idx="983">
                  <c:v>2.9802763485000001E-2</c:v>
                </c:pt>
                <c:pt idx="984">
                  <c:v>3.0606783576999998E-2</c:v>
                </c:pt>
                <c:pt idx="985">
                  <c:v>2.8998743393000001E-2</c:v>
                </c:pt>
                <c:pt idx="986">
                  <c:v>3.1410803669000002E-2</c:v>
                </c:pt>
                <c:pt idx="987">
                  <c:v>2.8998743394E-2</c:v>
                </c:pt>
                <c:pt idx="988">
                  <c:v>3.1410803669000002E-2</c:v>
                </c:pt>
                <c:pt idx="989">
                  <c:v>3.1410803669000002E-2</c:v>
                </c:pt>
                <c:pt idx="990">
                  <c:v>3.1410803669000002E-2</c:v>
                </c:pt>
                <c:pt idx="991">
                  <c:v>3.2214823761000003E-2</c:v>
                </c:pt>
                <c:pt idx="992">
                  <c:v>2.8194723301999999E-2</c:v>
                </c:pt>
                <c:pt idx="993">
                  <c:v>3.1410803669000002E-2</c:v>
                </c:pt>
                <c:pt idx="994">
                  <c:v>2.7390703209999999E-2</c:v>
                </c:pt>
                <c:pt idx="995">
                  <c:v>2.9802763486E-2</c:v>
                </c:pt>
                <c:pt idx="996">
                  <c:v>3.2214823761000003E-2</c:v>
                </c:pt>
                <c:pt idx="997">
                  <c:v>2.9802763485000001E-2</c:v>
                </c:pt>
                <c:pt idx="998">
                  <c:v>2.8998743393000001E-2</c:v>
                </c:pt>
                <c:pt idx="999">
                  <c:v>3.1410803669000002E-2</c:v>
                </c:pt>
                <c:pt idx="1000">
                  <c:v>3.1410803669000002E-2</c:v>
                </c:pt>
                <c:pt idx="1001">
                  <c:v>2.8998743393000001E-2</c:v>
                </c:pt>
                <c:pt idx="1002">
                  <c:v>3.1410803669000002E-2</c:v>
                </c:pt>
                <c:pt idx="1003">
                  <c:v>3.1410803669000002E-2</c:v>
                </c:pt>
                <c:pt idx="1004">
                  <c:v>2.7390703209999999E-2</c:v>
                </c:pt>
                <c:pt idx="1005">
                  <c:v>3.1410803669000002E-2</c:v>
                </c:pt>
                <c:pt idx="1006">
                  <c:v>2.7390703209999999E-2</c:v>
                </c:pt>
                <c:pt idx="1007">
                  <c:v>3.3822863944999997E-2</c:v>
                </c:pt>
                <c:pt idx="1008">
                  <c:v>2.9802763485000001E-2</c:v>
                </c:pt>
                <c:pt idx="1009">
                  <c:v>2.8998743393000001E-2</c:v>
                </c:pt>
                <c:pt idx="1010">
                  <c:v>2.8998743394E-2</c:v>
                </c:pt>
                <c:pt idx="1011">
                  <c:v>2.8998743394E-2</c:v>
                </c:pt>
                <c:pt idx="1012">
                  <c:v>3.2214823761000003E-2</c:v>
                </c:pt>
                <c:pt idx="1013">
                  <c:v>3.2214823761000003E-2</c:v>
                </c:pt>
                <c:pt idx="1014">
                  <c:v>2.9802763486E-2</c:v>
                </c:pt>
                <c:pt idx="1015">
                  <c:v>3.6234924219999999E-2</c:v>
                </c:pt>
                <c:pt idx="1016">
                  <c:v>3.2214823761000003E-2</c:v>
                </c:pt>
                <c:pt idx="1017">
                  <c:v>3.2214823761000003E-2</c:v>
                </c:pt>
                <c:pt idx="1018">
                  <c:v>3.1410803669000002E-2</c:v>
                </c:pt>
                <c:pt idx="1019">
                  <c:v>3.3822863944999997E-2</c:v>
                </c:pt>
                <c:pt idx="1020">
                  <c:v>3.0606783576999998E-2</c:v>
                </c:pt>
                <c:pt idx="1021">
                  <c:v>3.0606783576999998E-2</c:v>
                </c:pt>
                <c:pt idx="1022">
                  <c:v>3.3018843853000003E-2</c:v>
                </c:pt>
                <c:pt idx="1023">
                  <c:v>3.1410803669000002E-2</c:v>
                </c:pt>
                <c:pt idx="1024">
                  <c:v>3.3018843853000003E-2</c:v>
                </c:pt>
                <c:pt idx="1025">
                  <c:v>3.3018843853000003E-2</c:v>
                </c:pt>
                <c:pt idx="1026">
                  <c:v>3.2214823761000003E-2</c:v>
                </c:pt>
                <c:pt idx="1027">
                  <c:v>3.0606783576999998E-2</c:v>
                </c:pt>
                <c:pt idx="1028">
                  <c:v>3.1410803669000002E-2</c:v>
                </c:pt>
                <c:pt idx="1029">
                  <c:v>3.2214823761000003E-2</c:v>
                </c:pt>
                <c:pt idx="1030">
                  <c:v>3.1410803669000002E-2</c:v>
                </c:pt>
                <c:pt idx="1031">
                  <c:v>3.1410803669000002E-2</c:v>
                </c:pt>
                <c:pt idx="1032">
                  <c:v>3.3822863944999997E-2</c:v>
                </c:pt>
                <c:pt idx="1033">
                  <c:v>2.9802763485000001E-2</c:v>
                </c:pt>
                <c:pt idx="1034">
                  <c:v>3.1410803669000002E-2</c:v>
                </c:pt>
                <c:pt idx="1035">
                  <c:v>3.2214823761000003E-2</c:v>
                </c:pt>
                <c:pt idx="1036">
                  <c:v>3.2214823761000003E-2</c:v>
                </c:pt>
                <c:pt idx="1037">
                  <c:v>2.9802763485000001E-2</c:v>
                </c:pt>
                <c:pt idx="1038">
                  <c:v>3.3018843853000003E-2</c:v>
                </c:pt>
                <c:pt idx="1039">
                  <c:v>2.9802763485000001E-2</c:v>
                </c:pt>
                <c:pt idx="1040">
                  <c:v>2.9802763485000001E-2</c:v>
                </c:pt>
                <c:pt idx="1041">
                  <c:v>2.8998743393000001E-2</c:v>
                </c:pt>
                <c:pt idx="1042">
                  <c:v>3.1410803669000002E-2</c:v>
                </c:pt>
                <c:pt idx="1043">
                  <c:v>3.0606783576999998E-2</c:v>
                </c:pt>
                <c:pt idx="1044">
                  <c:v>3.2214823761000003E-2</c:v>
                </c:pt>
                <c:pt idx="1045">
                  <c:v>3.3018843853000003E-2</c:v>
                </c:pt>
                <c:pt idx="1046">
                  <c:v>2.8194723301000001E-2</c:v>
                </c:pt>
                <c:pt idx="1047">
                  <c:v>3.1410803669000002E-2</c:v>
                </c:pt>
                <c:pt idx="1048">
                  <c:v>2.7390703209999999E-2</c:v>
                </c:pt>
                <c:pt idx="1049">
                  <c:v>2.9802763485000001E-2</c:v>
                </c:pt>
                <c:pt idx="1050">
                  <c:v>2.8194723301999999E-2</c:v>
                </c:pt>
                <c:pt idx="1051">
                  <c:v>3.2214823761000003E-2</c:v>
                </c:pt>
                <c:pt idx="1052">
                  <c:v>3.0606783576999998E-2</c:v>
                </c:pt>
                <c:pt idx="1053">
                  <c:v>3.1410803669000002E-2</c:v>
                </c:pt>
                <c:pt idx="1054">
                  <c:v>3.1410803669000002E-2</c:v>
                </c:pt>
                <c:pt idx="1055">
                  <c:v>2.9802763485000001E-2</c:v>
                </c:pt>
                <c:pt idx="1056">
                  <c:v>3.1410803669000002E-2</c:v>
                </c:pt>
                <c:pt idx="1057">
                  <c:v>3.3018843853000003E-2</c:v>
                </c:pt>
                <c:pt idx="1058">
                  <c:v>2.9802763485000001E-2</c:v>
                </c:pt>
                <c:pt idx="1059">
                  <c:v>2.8998743394E-2</c:v>
                </c:pt>
                <c:pt idx="1060">
                  <c:v>2.7390703209999999E-2</c:v>
                </c:pt>
                <c:pt idx="1061">
                  <c:v>2.9802763485000001E-2</c:v>
                </c:pt>
                <c:pt idx="1062">
                  <c:v>2.9802763485000001E-2</c:v>
                </c:pt>
                <c:pt idx="1063">
                  <c:v>3.4626884035999998E-2</c:v>
                </c:pt>
                <c:pt idx="1064">
                  <c:v>2.8998743394E-2</c:v>
                </c:pt>
                <c:pt idx="1065">
                  <c:v>2.8998743393000001E-2</c:v>
                </c:pt>
                <c:pt idx="1066">
                  <c:v>3.3018843853000003E-2</c:v>
                </c:pt>
                <c:pt idx="1067">
                  <c:v>3.0606783576999998E-2</c:v>
                </c:pt>
                <c:pt idx="1068">
                  <c:v>3.0606783576999998E-2</c:v>
                </c:pt>
                <c:pt idx="1069">
                  <c:v>3.0606783576999998E-2</c:v>
                </c:pt>
                <c:pt idx="1070">
                  <c:v>3.2214823761000003E-2</c:v>
                </c:pt>
                <c:pt idx="1071">
                  <c:v>2.9802763485000001E-2</c:v>
                </c:pt>
                <c:pt idx="1072">
                  <c:v>3.2214823761000003E-2</c:v>
                </c:pt>
                <c:pt idx="1073">
                  <c:v>2.8998743394E-2</c:v>
                </c:pt>
                <c:pt idx="1074">
                  <c:v>2.9802763486E-2</c:v>
                </c:pt>
                <c:pt idx="1075">
                  <c:v>3.3018843853000003E-2</c:v>
                </c:pt>
                <c:pt idx="1076">
                  <c:v>3.0606783576999998E-2</c:v>
                </c:pt>
                <c:pt idx="1077">
                  <c:v>3.1410803669000002E-2</c:v>
                </c:pt>
                <c:pt idx="1078">
                  <c:v>3.1410803669000002E-2</c:v>
                </c:pt>
                <c:pt idx="1079">
                  <c:v>3.2214823761000003E-2</c:v>
                </c:pt>
                <c:pt idx="1080">
                  <c:v>3.0606783576999998E-2</c:v>
                </c:pt>
                <c:pt idx="1081">
                  <c:v>2.9802763485000001E-2</c:v>
                </c:pt>
                <c:pt idx="1082">
                  <c:v>3.3018843853000003E-2</c:v>
                </c:pt>
                <c:pt idx="1083">
                  <c:v>3.2214823761000003E-2</c:v>
                </c:pt>
                <c:pt idx="1084">
                  <c:v>3.3018843853000003E-2</c:v>
                </c:pt>
                <c:pt idx="1085">
                  <c:v>3.1410803669000002E-2</c:v>
                </c:pt>
                <c:pt idx="1086">
                  <c:v>3.1410803669000002E-2</c:v>
                </c:pt>
                <c:pt idx="1087">
                  <c:v>3.1410803669000002E-2</c:v>
                </c:pt>
                <c:pt idx="1088">
                  <c:v>3.1410803669000002E-2</c:v>
                </c:pt>
                <c:pt idx="1089">
                  <c:v>3.3018843853000003E-2</c:v>
                </c:pt>
                <c:pt idx="1090">
                  <c:v>3.2214823761000003E-2</c:v>
                </c:pt>
                <c:pt idx="1091">
                  <c:v>3.2214823761000003E-2</c:v>
                </c:pt>
                <c:pt idx="1092">
                  <c:v>2.9802763485000001E-2</c:v>
                </c:pt>
                <c:pt idx="1093">
                  <c:v>3.1410803669000002E-2</c:v>
                </c:pt>
                <c:pt idx="1094">
                  <c:v>3.3822863944999997E-2</c:v>
                </c:pt>
                <c:pt idx="1095">
                  <c:v>3.3018843853000003E-2</c:v>
                </c:pt>
                <c:pt idx="1096">
                  <c:v>3.3822863944999997E-2</c:v>
                </c:pt>
                <c:pt idx="1097">
                  <c:v>3.1410803669000002E-2</c:v>
                </c:pt>
                <c:pt idx="1098">
                  <c:v>3.2214823761000003E-2</c:v>
                </c:pt>
                <c:pt idx="1099">
                  <c:v>3.2214823761000003E-2</c:v>
                </c:pt>
                <c:pt idx="1100">
                  <c:v>3.0606783576999998E-2</c:v>
                </c:pt>
                <c:pt idx="1101">
                  <c:v>3.1410803669000002E-2</c:v>
                </c:pt>
                <c:pt idx="1102">
                  <c:v>2.9802763485000001E-2</c:v>
                </c:pt>
                <c:pt idx="1103">
                  <c:v>3.0606783576999998E-2</c:v>
                </c:pt>
                <c:pt idx="1104">
                  <c:v>2.8194723301999999E-2</c:v>
                </c:pt>
                <c:pt idx="1105">
                  <c:v>3.2214823761000003E-2</c:v>
                </c:pt>
                <c:pt idx="1106">
                  <c:v>3.0606783576999998E-2</c:v>
                </c:pt>
                <c:pt idx="1107">
                  <c:v>3.0606783576999998E-2</c:v>
                </c:pt>
                <c:pt idx="1108">
                  <c:v>3.1410803669000002E-2</c:v>
                </c:pt>
                <c:pt idx="1109">
                  <c:v>3.1410803669000002E-2</c:v>
                </c:pt>
                <c:pt idx="1110">
                  <c:v>3.2214823761000003E-2</c:v>
                </c:pt>
                <c:pt idx="1111">
                  <c:v>2.8194723301999999E-2</c:v>
                </c:pt>
                <c:pt idx="1112">
                  <c:v>3.0606783576999998E-2</c:v>
                </c:pt>
                <c:pt idx="1113">
                  <c:v>3.2214823761000003E-2</c:v>
                </c:pt>
                <c:pt idx="1114">
                  <c:v>2.9802763485000001E-2</c:v>
                </c:pt>
                <c:pt idx="1115">
                  <c:v>2.8194723301000001E-2</c:v>
                </c:pt>
                <c:pt idx="1116">
                  <c:v>3.0606783576999998E-2</c:v>
                </c:pt>
                <c:pt idx="1117">
                  <c:v>3.1410803669000002E-2</c:v>
                </c:pt>
                <c:pt idx="1118">
                  <c:v>2.8998743394E-2</c:v>
                </c:pt>
                <c:pt idx="1119">
                  <c:v>3.1410803669000002E-2</c:v>
                </c:pt>
                <c:pt idx="1120">
                  <c:v>2.8998743393000001E-2</c:v>
                </c:pt>
                <c:pt idx="1121">
                  <c:v>2.8998743393000001E-2</c:v>
                </c:pt>
                <c:pt idx="1122">
                  <c:v>2.9802763485000001E-2</c:v>
                </c:pt>
                <c:pt idx="1123">
                  <c:v>2.9802763485000001E-2</c:v>
                </c:pt>
                <c:pt idx="1124">
                  <c:v>3.0606783576999998E-2</c:v>
                </c:pt>
                <c:pt idx="1125">
                  <c:v>2.7390703209999999E-2</c:v>
                </c:pt>
                <c:pt idx="1126">
                  <c:v>3.0606783576999998E-2</c:v>
                </c:pt>
                <c:pt idx="1127">
                  <c:v>2.8998743394E-2</c:v>
                </c:pt>
                <c:pt idx="1128">
                  <c:v>2.9802763485000001E-2</c:v>
                </c:pt>
                <c:pt idx="1129">
                  <c:v>2.9802763485000001E-2</c:v>
                </c:pt>
                <c:pt idx="1130">
                  <c:v>3.1410803669000002E-2</c:v>
                </c:pt>
                <c:pt idx="1131">
                  <c:v>3.2214823761000003E-2</c:v>
                </c:pt>
                <c:pt idx="1132">
                  <c:v>3.3018843853000003E-2</c:v>
                </c:pt>
                <c:pt idx="1133">
                  <c:v>3.0606783576999998E-2</c:v>
                </c:pt>
                <c:pt idx="1134">
                  <c:v>3.2214823761000003E-2</c:v>
                </c:pt>
                <c:pt idx="1135">
                  <c:v>3.3822863944999997E-2</c:v>
                </c:pt>
                <c:pt idx="1136">
                  <c:v>3.2214823761000003E-2</c:v>
                </c:pt>
                <c:pt idx="1137">
                  <c:v>3.2214823761000003E-2</c:v>
                </c:pt>
                <c:pt idx="1138">
                  <c:v>3.4626884036999997E-2</c:v>
                </c:pt>
                <c:pt idx="1139">
                  <c:v>3.0606783576999998E-2</c:v>
                </c:pt>
                <c:pt idx="1140">
                  <c:v>3.5430904127999999E-2</c:v>
                </c:pt>
                <c:pt idx="1141">
                  <c:v>2.9802763485000001E-2</c:v>
                </c:pt>
                <c:pt idx="1142">
                  <c:v>3.0606783576999998E-2</c:v>
                </c:pt>
                <c:pt idx="1143">
                  <c:v>3.0606783576999998E-2</c:v>
                </c:pt>
                <c:pt idx="1144">
                  <c:v>2.9802763485000001E-2</c:v>
                </c:pt>
                <c:pt idx="1145">
                  <c:v>3.0606783576999998E-2</c:v>
                </c:pt>
                <c:pt idx="1146">
                  <c:v>3.1410803669000002E-2</c:v>
                </c:pt>
                <c:pt idx="1147">
                  <c:v>3.0606783576999998E-2</c:v>
                </c:pt>
                <c:pt idx="1148">
                  <c:v>2.8998743393000001E-2</c:v>
                </c:pt>
                <c:pt idx="1149">
                  <c:v>2.8998743394E-2</c:v>
                </c:pt>
                <c:pt idx="1150">
                  <c:v>3.1410803669000002E-2</c:v>
                </c:pt>
                <c:pt idx="1151">
                  <c:v>3.2214823761000003E-2</c:v>
                </c:pt>
                <c:pt idx="1152">
                  <c:v>3.2214823761000003E-2</c:v>
                </c:pt>
                <c:pt idx="1153">
                  <c:v>2.8998743393000001E-2</c:v>
                </c:pt>
                <c:pt idx="1154">
                  <c:v>3.0606783576999998E-2</c:v>
                </c:pt>
                <c:pt idx="1155">
                  <c:v>2.8194723301999999E-2</c:v>
                </c:pt>
                <c:pt idx="1156">
                  <c:v>2.6586683117999999E-2</c:v>
                </c:pt>
                <c:pt idx="1157">
                  <c:v>3.3822863944999997E-2</c:v>
                </c:pt>
                <c:pt idx="1158">
                  <c:v>2.8194723301000001E-2</c:v>
                </c:pt>
                <c:pt idx="1159">
                  <c:v>3.2214823761000003E-2</c:v>
                </c:pt>
                <c:pt idx="1160">
                  <c:v>3.3018843853000003E-2</c:v>
                </c:pt>
                <c:pt idx="1161">
                  <c:v>2.8998743394E-2</c:v>
                </c:pt>
                <c:pt idx="1162">
                  <c:v>3.1410803669000002E-2</c:v>
                </c:pt>
                <c:pt idx="1163">
                  <c:v>2.8194723301000001E-2</c:v>
                </c:pt>
                <c:pt idx="1164">
                  <c:v>3.1410803669000002E-2</c:v>
                </c:pt>
                <c:pt idx="1165">
                  <c:v>3.2214823761000003E-2</c:v>
                </c:pt>
                <c:pt idx="1166">
                  <c:v>2.8998743393000001E-2</c:v>
                </c:pt>
                <c:pt idx="1167">
                  <c:v>3.2214823761000003E-2</c:v>
                </c:pt>
                <c:pt idx="1168">
                  <c:v>3.0606783576999998E-2</c:v>
                </c:pt>
                <c:pt idx="1169">
                  <c:v>3.1410803669000002E-2</c:v>
                </c:pt>
                <c:pt idx="1170">
                  <c:v>2.8998743394E-2</c:v>
                </c:pt>
                <c:pt idx="1171">
                  <c:v>2.8194723301000001E-2</c:v>
                </c:pt>
                <c:pt idx="1172">
                  <c:v>3.1410803669000002E-2</c:v>
                </c:pt>
                <c:pt idx="1173">
                  <c:v>2.9802763486E-2</c:v>
                </c:pt>
                <c:pt idx="1174">
                  <c:v>3.1410803669000002E-2</c:v>
                </c:pt>
                <c:pt idx="1175">
                  <c:v>2.9802763485000001E-2</c:v>
                </c:pt>
                <c:pt idx="1176">
                  <c:v>3.3018843853000003E-2</c:v>
                </c:pt>
                <c:pt idx="1177">
                  <c:v>2.9802763485000001E-2</c:v>
                </c:pt>
                <c:pt idx="1178">
                  <c:v>2.8998743393000001E-2</c:v>
                </c:pt>
                <c:pt idx="1179">
                  <c:v>3.1410803669000002E-2</c:v>
                </c:pt>
                <c:pt idx="1180">
                  <c:v>2.8998743393000001E-2</c:v>
                </c:pt>
                <c:pt idx="1181">
                  <c:v>3.1410803669000002E-2</c:v>
                </c:pt>
                <c:pt idx="1182">
                  <c:v>3.2214823761000003E-2</c:v>
                </c:pt>
                <c:pt idx="1183">
                  <c:v>2.9802763485000001E-2</c:v>
                </c:pt>
                <c:pt idx="1184">
                  <c:v>2.9802763485000001E-2</c:v>
                </c:pt>
                <c:pt idx="1185">
                  <c:v>2.9802763485000001E-2</c:v>
                </c:pt>
                <c:pt idx="1186">
                  <c:v>2.8194723301999999E-2</c:v>
                </c:pt>
                <c:pt idx="1187">
                  <c:v>3.0606783576999998E-2</c:v>
                </c:pt>
                <c:pt idx="1188">
                  <c:v>2.8194723301000001E-2</c:v>
                </c:pt>
                <c:pt idx="1189">
                  <c:v>2.8998743393000001E-2</c:v>
                </c:pt>
                <c:pt idx="1190">
                  <c:v>2.8998743394E-2</c:v>
                </c:pt>
                <c:pt idx="1191">
                  <c:v>2.9802763485000001E-2</c:v>
                </c:pt>
                <c:pt idx="1192">
                  <c:v>3.1410803669000002E-2</c:v>
                </c:pt>
                <c:pt idx="1193">
                  <c:v>2.8998743393000001E-2</c:v>
                </c:pt>
                <c:pt idx="1194">
                  <c:v>2.6586683117999999E-2</c:v>
                </c:pt>
                <c:pt idx="1195">
                  <c:v>2.7390703209999999E-2</c:v>
                </c:pt>
                <c:pt idx="1196">
                  <c:v>3.2214823761000003E-2</c:v>
                </c:pt>
                <c:pt idx="1197">
                  <c:v>2.9802763485000001E-2</c:v>
                </c:pt>
                <c:pt idx="1198">
                  <c:v>3.0606783576999998E-2</c:v>
                </c:pt>
                <c:pt idx="1199">
                  <c:v>2.9802763485000001E-2</c:v>
                </c:pt>
                <c:pt idx="1200">
                  <c:v>2.8194723301999999E-2</c:v>
                </c:pt>
                <c:pt idx="1201">
                  <c:v>3.1410803669000002E-2</c:v>
                </c:pt>
                <c:pt idx="1202">
                  <c:v>2.8998743393000001E-2</c:v>
                </c:pt>
                <c:pt idx="1203">
                  <c:v>3.0606783576999998E-2</c:v>
                </c:pt>
                <c:pt idx="1204">
                  <c:v>3.1410803669000002E-2</c:v>
                </c:pt>
                <c:pt idx="1205">
                  <c:v>3.2214823761000003E-2</c:v>
                </c:pt>
                <c:pt idx="1206">
                  <c:v>2.8194723301999999E-2</c:v>
                </c:pt>
                <c:pt idx="1207">
                  <c:v>3.2214823761000003E-2</c:v>
                </c:pt>
                <c:pt idx="1208">
                  <c:v>3.2214823761000003E-2</c:v>
                </c:pt>
                <c:pt idx="1209">
                  <c:v>2.8998743394E-2</c:v>
                </c:pt>
                <c:pt idx="1210">
                  <c:v>3.1410803669000002E-2</c:v>
                </c:pt>
                <c:pt idx="1211">
                  <c:v>2.5782663026000002E-2</c:v>
                </c:pt>
                <c:pt idx="1212">
                  <c:v>3.0606783576999998E-2</c:v>
                </c:pt>
                <c:pt idx="1213">
                  <c:v>3.2214823761000003E-2</c:v>
                </c:pt>
                <c:pt idx="1214">
                  <c:v>2.8998743394E-2</c:v>
                </c:pt>
                <c:pt idx="1215">
                  <c:v>3.1410803669000002E-2</c:v>
                </c:pt>
                <c:pt idx="1216">
                  <c:v>3.1410803669000002E-2</c:v>
                </c:pt>
                <c:pt idx="1217">
                  <c:v>3.1410803669000002E-2</c:v>
                </c:pt>
                <c:pt idx="1218">
                  <c:v>2.9802763485000001E-2</c:v>
                </c:pt>
                <c:pt idx="1219">
                  <c:v>3.2214823761000003E-2</c:v>
                </c:pt>
                <c:pt idx="1220">
                  <c:v>3.0606783576999998E-2</c:v>
                </c:pt>
                <c:pt idx="1221">
                  <c:v>2.8998743394E-2</c:v>
                </c:pt>
                <c:pt idx="1222">
                  <c:v>2.7390703209999999E-2</c:v>
                </c:pt>
                <c:pt idx="1223">
                  <c:v>2.8194723301999999E-2</c:v>
                </c:pt>
                <c:pt idx="1224">
                  <c:v>3.0606783576999998E-2</c:v>
                </c:pt>
                <c:pt idx="1225">
                  <c:v>2.6586683117999999E-2</c:v>
                </c:pt>
                <c:pt idx="1226">
                  <c:v>3.0606783576999998E-2</c:v>
                </c:pt>
                <c:pt idx="1227">
                  <c:v>2.9802763485000001E-2</c:v>
                </c:pt>
                <c:pt idx="1228">
                  <c:v>2.6586683117999999E-2</c:v>
                </c:pt>
                <c:pt idx="1229">
                  <c:v>2.7390703209999999E-2</c:v>
                </c:pt>
                <c:pt idx="1230">
                  <c:v>2.8194723301999999E-2</c:v>
                </c:pt>
                <c:pt idx="1231">
                  <c:v>3.0606783576999998E-2</c:v>
                </c:pt>
                <c:pt idx="1232">
                  <c:v>2.8194723301999999E-2</c:v>
                </c:pt>
                <c:pt idx="1233">
                  <c:v>2.9802763485000001E-2</c:v>
                </c:pt>
                <c:pt idx="1234">
                  <c:v>2.8194723301000001E-2</c:v>
                </c:pt>
                <c:pt idx="1235">
                  <c:v>2.8998743394E-2</c:v>
                </c:pt>
                <c:pt idx="1236">
                  <c:v>2.7390703209999999E-2</c:v>
                </c:pt>
                <c:pt idx="1237">
                  <c:v>2.8194723301999999E-2</c:v>
                </c:pt>
                <c:pt idx="1238">
                  <c:v>2.7390703209999999E-2</c:v>
                </c:pt>
                <c:pt idx="1239">
                  <c:v>2.9802763485000001E-2</c:v>
                </c:pt>
                <c:pt idx="1240">
                  <c:v>3.3018843853000003E-2</c:v>
                </c:pt>
                <c:pt idx="1241">
                  <c:v>2.8998743393000001E-2</c:v>
                </c:pt>
                <c:pt idx="1242">
                  <c:v>3.1410803669000002E-2</c:v>
                </c:pt>
                <c:pt idx="1243">
                  <c:v>2.6586683117999999E-2</c:v>
                </c:pt>
                <c:pt idx="1244">
                  <c:v>3.0606783576999998E-2</c:v>
                </c:pt>
                <c:pt idx="1245">
                  <c:v>3.2214823761000003E-2</c:v>
                </c:pt>
                <c:pt idx="1246">
                  <c:v>2.8998743393000001E-2</c:v>
                </c:pt>
                <c:pt idx="1247">
                  <c:v>3.0606783576999998E-2</c:v>
                </c:pt>
                <c:pt idx="1248">
                  <c:v>2.8998743394E-2</c:v>
                </c:pt>
                <c:pt idx="1249">
                  <c:v>3.0606783576999998E-2</c:v>
                </c:pt>
                <c:pt idx="1250">
                  <c:v>3.3018843853000003E-2</c:v>
                </c:pt>
                <c:pt idx="1251">
                  <c:v>3.3822863944999997E-2</c:v>
                </c:pt>
                <c:pt idx="1252">
                  <c:v>3.0606783576999998E-2</c:v>
                </c:pt>
                <c:pt idx="1253">
                  <c:v>3.2214823761000003E-2</c:v>
                </c:pt>
                <c:pt idx="1254">
                  <c:v>3.1410803669000002E-2</c:v>
                </c:pt>
                <c:pt idx="1255">
                  <c:v>2.8194723301999999E-2</c:v>
                </c:pt>
                <c:pt idx="1256">
                  <c:v>2.8194723301999999E-2</c:v>
                </c:pt>
                <c:pt idx="1257">
                  <c:v>3.1410803669000002E-2</c:v>
                </c:pt>
                <c:pt idx="1258">
                  <c:v>2.8998743394E-2</c:v>
                </c:pt>
                <c:pt idx="1259">
                  <c:v>3.0606783576999998E-2</c:v>
                </c:pt>
                <c:pt idx="1260">
                  <c:v>2.9802763485000001E-2</c:v>
                </c:pt>
                <c:pt idx="1261">
                  <c:v>3.0606783576999998E-2</c:v>
                </c:pt>
                <c:pt idx="1262">
                  <c:v>2.8998743394E-2</c:v>
                </c:pt>
                <c:pt idx="1263">
                  <c:v>3.2214823761000003E-2</c:v>
                </c:pt>
                <c:pt idx="1264">
                  <c:v>2.9802763485000001E-2</c:v>
                </c:pt>
                <c:pt idx="1265">
                  <c:v>3.1410803669000002E-2</c:v>
                </c:pt>
                <c:pt idx="1266">
                  <c:v>3.1410803669000002E-2</c:v>
                </c:pt>
                <c:pt idx="1267">
                  <c:v>3.0606783576999998E-2</c:v>
                </c:pt>
                <c:pt idx="1268">
                  <c:v>3.5430904127999999E-2</c:v>
                </c:pt>
                <c:pt idx="1269">
                  <c:v>3.2214823761000003E-2</c:v>
                </c:pt>
                <c:pt idx="1270">
                  <c:v>3.2214823761000003E-2</c:v>
                </c:pt>
                <c:pt idx="1271">
                  <c:v>3.2214823761000003E-2</c:v>
                </c:pt>
                <c:pt idx="1272">
                  <c:v>3.1410803669000002E-2</c:v>
                </c:pt>
                <c:pt idx="1273">
                  <c:v>2.7390703209999999E-2</c:v>
                </c:pt>
                <c:pt idx="1274">
                  <c:v>2.8194723301999999E-2</c:v>
                </c:pt>
                <c:pt idx="1275">
                  <c:v>2.8998743394E-2</c:v>
                </c:pt>
                <c:pt idx="1276">
                  <c:v>2.8998743393000001E-2</c:v>
                </c:pt>
                <c:pt idx="1277">
                  <c:v>3.1410803669000002E-2</c:v>
                </c:pt>
                <c:pt idx="1278">
                  <c:v>2.9802763485000001E-2</c:v>
                </c:pt>
                <c:pt idx="1279">
                  <c:v>2.6586683117999999E-2</c:v>
                </c:pt>
                <c:pt idx="1280">
                  <c:v>2.9802763485000001E-2</c:v>
                </c:pt>
                <c:pt idx="1281">
                  <c:v>3.0606783576999998E-2</c:v>
                </c:pt>
                <c:pt idx="1282">
                  <c:v>3.2214823761000003E-2</c:v>
                </c:pt>
                <c:pt idx="1283">
                  <c:v>3.2214823761000003E-2</c:v>
                </c:pt>
                <c:pt idx="1284">
                  <c:v>3.0606783576999998E-2</c:v>
                </c:pt>
                <c:pt idx="1285">
                  <c:v>2.9802763486E-2</c:v>
                </c:pt>
                <c:pt idx="1286">
                  <c:v>2.8194723301999999E-2</c:v>
                </c:pt>
                <c:pt idx="1287">
                  <c:v>3.1410803669000002E-2</c:v>
                </c:pt>
                <c:pt idx="1288">
                  <c:v>3.3822863944999997E-2</c:v>
                </c:pt>
                <c:pt idx="1289">
                  <c:v>2.8998743393000001E-2</c:v>
                </c:pt>
                <c:pt idx="1290">
                  <c:v>2.9802763485000001E-2</c:v>
                </c:pt>
                <c:pt idx="1291">
                  <c:v>3.2214823761000003E-2</c:v>
                </c:pt>
                <c:pt idx="1292">
                  <c:v>2.7390703209999999E-2</c:v>
                </c:pt>
                <c:pt idx="1293">
                  <c:v>2.8194723301999999E-2</c:v>
                </c:pt>
                <c:pt idx="1294">
                  <c:v>3.1410803669000002E-2</c:v>
                </c:pt>
                <c:pt idx="1295">
                  <c:v>3.0606783576999998E-2</c:v>
                </c:pt>
                <c:pt idx="1296">
                  <c:v>3.3018843853000003E-2</c:v>
                </c:pt>
                <c:pt idx="1297">
                  <c:v>2.7390703209999999E-2</c:v>
                </c:pt>
                <c:pt idx="1298">
                  <c:v>2.9802763485000001E-2</c:v>
                </c:pt>
                <c:pt idx="1299">
                  <c:v>3.2214823761000003E-2</c:v>
                </c:pt>
                <c:pt idx="1300">
                  <c:v>3.0606783576999998E-2</c:v>
                </c:pt>
                <c:pt idx="1301">
                  <c:v>2.7390703209999999E-2</c:v>
                </c:pt>
                <c:pt idx="1302">
                  <c:v>2.8194723301000001E-2</c:v>
                </c:pt>
                <c:pt idx="1303">
                  <c:v>2.9802763485000001E-2</c:v>
                </c:pt>
                <c:pt idx="1304">
                  <c:v>2.9802763485000001E-2</c:v>
                </c:pt>
                <c:pt idx="1305">
                  <c:v>2.6586683117999999E-2</c:v>
                </c:pt>
                <c:pt idx="1306">
                  <c:v>3.1410803669000002E-2</c:v>
                </c:pt>
                <c:pt idx="1307">
                  <c:v>2.9802763486E-2</c:v>
                </c:pt>
                <c:pt idx="1308">
                  <c:v>2.5782663026000002E-2</c:v>
                </c:pt>
                <c:pt idx="1309">
                  <c:v>2.9802763485000001E-2</c:v>
                </c:pt>
                <c:pt idx="1310">
                  <c:v>3.1410803669000002E-2</c:v>
                </c:pt>
                <c:pt idx="1311">
                  <c:v>3.2214823761000003E-2</c:v>
                </c:pt>
                <c:pt idx="1312">
                  <c:v>3.0606783576999998E-2</c:v>
                </c:pt>
                <c:pt idx="1313">
                  <c:v>2.9802763485000001E-2</c:v>
                </c:pt>
                <c:pt idx="1314">
                  <c:v>3.1410803669000002E-2</c:v>
                </c:pt>
                <c:pt idx="1315">
                  <c:v>3.2214823761000003E-2</c:v>
                </c:pt>
                <c:pt idx="1316">
                  <c:v>3.0606783576999998E-2</c:v>
                </c:pt>
                <c:pt idx="1317">
                  <c:v>3.1410803669000002E-2</c:v>
                </c:pt>
                <c:pt idx="1318">
                  <c:v>3.2214823761000003E-2</c:v>
                </c:pt>
                <c:pt idx="1319">
                  <c:v>3.1410803669000002E-2</c:v>
                </c:pt>
                <c:pt idx="1320">
                  <c:v>2.8194723301999999E-2</c:v>
                </c:pt>
                <c:pt idx="1321">
                  <c:v>3.0606783576999998E-2</c:v>
                </c:pt>
                <c:pt idx="1322">
                  <c:v>2.8194723301999999E-2</c:v>
                </c:pt>
                <c:pt idx="1323">
                  <c:v>3.1410803669000002E-2</c:v>
                </c:pt>
                <c:pt idx="1324">
                  <c:v>2.8998743393000001E-2</c:v>
                </c:pt>
                <c:pt idx="1325">
                  <c:v>2.8998743394E-2</c:v>
                </c:pt>
                <c:pt idx="1326">
                  <c:v>2.9802763485000001E-2</c:v>
                </c:pt>
                <c:pt idx="1327">
                  <c:v>2.9802763486E-2</c:v>
                </c:pt>
                <c:pt idx="1328">
                  <c:v>2.9802763485000001E-2</c:v>
                </c:pt>
                <c:pt idx="1329">
                  <c:v>2.8998743393000001E-2</c:v>
                </c:pt>
                <c:pt idx="1330">
                  <c:v>2.9802763485000001E-2</c:v>
                </c:pt>
                <c:pt idx="1331">
                  <c:v>2.9802763485000001E-2</c:v>
                </c:pt>
                <c:pt idx="1332">
                  <c:v>3.0606783576999998E-2</c:v>
                </c:pt>
                <c:pt idx="1333">
                  <c:v>2.9802763485000001E-2</c:v>
                </c:pt>
                <c:pt idx="1334">
                  <c:v>2.8194723301999999E-2</c:v>
                </c:pt>
                <c:pt idx="1335">
                  <c:v>2.6586683117999999E-2</c:v>
                </c:pt>
                <c:pt idx="1336">
                  <c:v>2.8194723301999999E-2</c:v>
                </c:pt>
                <c:pt idx="1337">
                  <c:v>2.8194723301999999E-2</c:v>
                </c:pt>
                <c:pt idx="1338">
                  <c:v>2.5782663026000002E-2</c:v>
                </c:pt>
                <c:pt idx="1339">
                  <c:v>2.8998743393000001E-2</c:v>
                </c:pt>
                <c:pt idx="1340">
                  <c:v>2.7390703209999999E-2</c:v>
                </c:pt>
                <c:pt idx="1341">
                  <c:v>3.0606783576999998E-2</c:v>
                </c:pt>
                <c:pt idx="1342">
                  <c:v>2.5782663026000002E-2</c:v>
                </c:pt>
                <c:pt idx="1343">
                  <c:v>2.9802763485000001E-2</c:v>
                </c:pt>
                <c:pt idx="1344">
                  <c:v>2.8194723301999999E-2</c:v>
                </c:pt>
                <c:pt idx="1345">
                  <c:v>2.7390703209999999E-2</c:v>
                </c:pt>
                <c:pt idx="1346">
                  <c:v>3.1410803669000002E-2</c:v>
                </c:pt>
                <c:pt idx="1347">
                  <c:v>2.6586683117999999E-2</c:v>
                </c:pt>
                <c:pt idx="1348">
                  <c:v>2.8998743393000001E-2</c:v>
                </c:pt>
                <c:pt idx="1349">
                  <c:v>3.4626884035999998E-2</c:v>
                </c:pt>
                <c:pt idx="1350">
                  <c:v>2.9802763485000001E-2</c:v>
                </c:pt>
                <c:pt idx="1351">
                  <c:v>2.8194723301999999E-2</c:v>
                </c:pt>
                <c:pt idx="1352">
                  <c:v>2.9802763486E-2</c:v>
                </c:pt>
                <c:pt idx="1353">
                  <c:v>2.8998743393000001E-2</c:v>
                </c:pt>
                <c:pt idx="1354">
                  <c:v>3.0606783576999998E-2</c:v>
                </c:pt>
                <c:pt idx="1355">
                  <c:v>3.2214823761000003E-2</c:v>
                </c:pt>
                <c:pt idx="1356">
                  <c:v>2.8998743393000001E-2</c:v>
                </c:pt>
                <c:pt idx="1357">
                  <c:v>3.3018843853000003E-2</c:v>
                </c:pt>
                <c:pt idx="1358">
                  <c:v>3.1410803669000002E-2</c:v>
                </c:pt>
                <c:pt idx="1359">
                  <c:v>2.8194723301999999E-2</c:v>
                </c:pt>
                <c:pt idx="1360">
                  <c:v>3.5430904128999997E-2</c:v>
                </c:pt>
                <c:pt idx="1361">
                  <c:v>3.1410803669000002E-2</c:v>
                </c:pt>
                <c:pt idx="1362">
                  <c:v>3.0606783576999998E-2</c:v>
                </c:pt>
                <c:pt idx="1363">
                  <c:v>3.1410803669000002E-2</c:v>
                </c:pt>
                <c:pt idx="1364">
                  <c:v>2.8998743394E-2</c:v>
                </c:pt>
                <c:pt idx="1365">
                  <c:v>2.7390703209999999E-2</c:v>
                </c:pt>
                <c:pt idx="1366">
                  <c:v>2.9802763485000001E-2</c:v>
                </c:pt>
                <c:pt idx="1367">
                  <c:v>3.2214823761000003E-2</c:v>
                </c:pt>
                <c:pt idx="1368">
                  <c:v>2.9802763485000001E-2</c:v>
                </c:pt>
                <c:pt idx="1369">
                  <c:v>3.1410803669000002E-2</c:v>
                </c:pt>
                <c:pt idx="1370">
                  <c:v>2.9802763485000001E-2</c:v>
                </c:pt>
                <c:pt idx="1371">
                  <c:v>3.2214823761000003E-2</c:v>
                </c:pt>
                <c:pt idx="1372">
                  <c:v>2.8194723301999999E-2</c:v>
                </c:pt>
                <c:pt idx="1373">
                  <c:v>3.3822863944999997E-2</c:v>
                </c:pt>
                <c:pt idx="1374">
                  <c:v>2.9802763485000001E-2</c:v>
                </c:pt>
                <c:pt idx="1375">
                  <c:v>2.9802763485000001E-2</c:v>
                </c:pt>
                <c:pt idx="1376">
                  <c:v>3.0606783576999998E-2</c:v>
                </c:pt>
                <c:pt idx="1377">
                  <c:v>2.8998743393000001E-2</c:v>
                </c:pt>
                <c:pt idx="1378">
                  <c:v>3.0606783576999998E-2</c:v>
                </c:pt>
                <c:pt idx="1379">
                  <c:v>2.4978642934000001E-2</c:v>
                </c:pt>
                <c:pt idx="1380">
                  <c:v>2.9802763485000001E-2</c:v>
                </c:pt>
                <c:pt idx="1381">
                  <c:v>2.7390703209999999E-2</c:v>
                </c:pt>
                <c:pt idx="1382">
                  <c:v>3.1410803669000002E-2</c:v>
                </c:pt>
                <c:pt idx="1383">
                  <c:v>3.1410803669000002E-2</c:v>
                </c:pt>
                <c:pt idx="1384">
                  <c:v>2.8998743394E-2</c:v>
                </c:pt>
                <c:pt idx="1385">
                  <c:v>3.0606783576999998E-2</c:v>
                </c:pt>
                <c:pt idx="1386">
                  <c:v>3.0606783576999998E-2</c:v>
                </c:pt>
                <c:pt idx="1387">
                  <c:v>2.8998743394E-2</c:v>
                </c:pt>
                <c:pt idx="1388">
                  <c:v>3.0606783576999998E-2</c:v>
                </c:pt>
                <c:pt idx="1389">
                  <c:v>2.9802763485000001E-2</c:v>
                </c:pt>
                <c:pt idx="1390">
                  <c:v>2.9802763486E-2</c:v>
                </c:pt>
                <c:pt idx="1391">
                  <c:v>2.8998743393000001E-2</c:v>
                </c:pt>
                <c:pt idx="1392">
                  <c:v>3.0606783576999998E-2</c:v>
                </c:pt>
                <c:pt idx="1393">
                  <c:v>3.0606783576999998E-2</c:v>
                </c:pt>
                <c:pt idx="1394">
                  <c:v>3.1410803669000002E-2</c:v>
                </c:pt>
                <c:pt idx="1395">
                  <c:v>3.0606783576999998E-2</c:v>
                </c:pt>
                <c:pt idx="1396">
                  <c:v>3.3018843853000003E-2</c:v>
                </c:pt>
                <c:pt idx="1397">
                  <c:v>3.3018843853000003E-2</c:v>
                </c:pt>
                <c:pt idx="1398">
                  <c:v>3.2214823761000003E-2</c:v>
                </c:pt>
                <c:pt idx="1399">
                  <c:v>3.3018843853000003E-2</c:v>
                </c:pt>
                <c:pt idx="1400">
                  <c:v>2.9802763485000001E-2</c:v>
                </c:pt>
                <c:pt idx="1401">
                  <c:v>3.6234924219999999E-2</c:v>
                </c:pt>
                <c:pt idx="1402">
                  <c:v>3.2214823761000003E-2</c:v>
                </c:pt>
                <c:pt idx="1403">
                  <c:v>3.3822863944999997E-2</c:v>
                </c:pt>
                <c:pt idx="1404">
                  <c:v>3.2214823761000003E-2</c:v>
                </c:pt>
                <c:pt idx="1405">
                  <c:v>3.2214823761000003E-2</c:v>
                </c:pt>
                <c:pt idx="1406">
                  <c:v>2.9802763485000001E-2</c:v>
                </c:pt>
                <c:pt idx="1407">
                  <c:v>3.1410803669000002E-2</c:v>
                </c:pt>
                <c:pt idx="1408">
                  <c:v>2.2566582658E-2</c:v>
                </c:pt>
                <c:pt idx="1409">
                  <c:v>3.3018843853000003E-2</c:v>
                </c:pt>
                <c:pt idx="1410">
                  <c:v>2.8194723301000001E-2</c:v>
                </c:pt>
                <c:pt idx="1411">
                  <c:v>3.0606783576999998E-2</c:v>
                </c:pt>
                <c:pt idx="1412">
                  <c:v>2.9802763485000001E-2</c:v>
                </c:pt>
                <c:pt idx="1413">
                  <c:v>2.8998743393000001E-2</c:v>
                </c:pt>
                <c:pt idx="1414">
                  <c:v>3.0606783576999998E-2</c:v>
                </c:pt>
                <c:pt idx="1415">
                  <c:v>2.8194723301999999E-2</c:v>
                </c:pt>
                <c:pt idx="1416">
                  <c:v>2.9802763485000001E-2</c:v>
                </c:pt>
                <c:pt idx="1417">
                  <c:v>2.5782663026000002E-2</c:v>
                </c:pt>
                <c:pt idx="1418">
                  <c:v>2.8194723301000001E-2</c:v>
                </c:pt>
                <c:pt idx="1419">
                  <c:v>2.8194723301000001E-2</c:v>
                </c:pt>
                <c:pt idx="1420">
                  <c:v>3.0606783576999998E-2</c:v>
                </c:pt>
                <c:pt idx="1421">
                  <c:v>3.3018843853000003E-2</c:v>
                </c:pt>
                <c:pt idx="1422">
                  <c:v>2.7390703209999999E-2</c:v>
                </c:pt>
                <c:pt idx="1423">
                  <c:v>3.0606783576999998E-2</c:v>
                </c:pt>
                <c:pt idx="1424">
                  <c:v>2.9802763485000001E-2</c:v>
                </c:pt>
                <c:pt idx="1425">
                  <c:v>2.9802763485000001E-2</c:v>
                </c:pt>
                <c:pt idx="1426">
                  <c:v>3.0606783576999998E-2</c:v>
                </c:pt>
                <c:pt idx="1427">
                  <c:v>2.9802763485000001E-2</c:v>
                </c:pt>
                <c:pt idx="1428">
                  <c:v>3.1410803669000002E-2</c:v>
                </c:pt>
                <c:pt idx="1429">
                  <c:v>2.9802763485000001E-2</c:v>
                </c:pt>
                <c:pt idx="1430">
                  <c:v>2.8998743394E-2</c:v>
                </c:pt>
                <c:pt idx="1431">
                  <c:v>3.0606783576999998E-2</c:v>
                </c:pt>
                <c:pt idx="1432">
                  <c:v>2.9802763485000001E-2</c:v>
                </c:pt>
                <c:pt idx="1433">
                  <c:v>2.8998743393000001E-2</c:v>
                </c:pt>
                <c:pt idx="1434">
                  <c:v>2.8998743393000001E-2</c:v>
                </c:pt>
                <c:pt idx="1435">
                  <c:v>3.2214823761000003E-2</c:v>
                </c:pt>
                <c:pt idx="1436">
                  <c:v>3.0606783576999998E-2</c:v>
                </c:pt>
                <c:pt idx="1437">
                  <c:v>3.3822863944999997E-2</c:v>
                </c:pt>
                <c:pt idx="1438">
                  <c:v>3.1410803669000002E-2</c:v>
                </c:pt>
                <c:pt idx="1439">
                  <c:v>3.0606783576999998E-2</c:v>
                </c:pt>
                <c:pt idx="1440">
                  <c:v>3.0606783576999998E-2</c:v>
                </c:pt>
                <c:pt idx="1441">
                  <c:v>3.2214823761000003E-2</c:v>
                </c:pt>
                <c:pt idx="1442">
                  <c:v>2.9802763485000001E-2</c:v>
                </c:pt>
                <c:pt idx="1443">
                  <c:v>3.3018843853000003E-2</c:v>
                </c:pt>
                <c:pt idx="1444">
                  <c:v>3.0606783576999998E-2</c:v>
                </c:pt>
                <c:pt idx="1445">
                  <c:v>2.9802763486E-2</c:v>
                </c:pt>
                <c:pt idx="1446">
                  <c:v>2.8998743394E-2</c:v>
                </c:pt>
                <c:pt idx="1447">
                  <c:v>3.3018843853000003E-2</c:v>
                </c:pt>
                <c:pt idx="1448">
                  <c:v>3.0606783576999998E-2</c:v>
                </c:pt>
                <c:pt idx="1449">
                  <c:v>3.2214823761000003E-2</c:v>
                </c:pt>
                <c:pt idx="1450">
                  <c:v>3.0606783576999998E-2</c:v>
                </c:pt>
                <c:pt idx="1451">
                  <c:v>2.8194723301999999E-2</c:v>
                </c:pt>
                <c:pt idx="1452">
                  <c:v>2.8998743393000001E-2</c:v>
                </c:pt>
                <c:pt idx="1453">
                  <c:v>3.1410803669000002E-2</c:v>
                </c:pt>
                <c:pt idx="1454">
                  <c:v>2.8194723301999999E-2</c:v>
                </c:pt>
                <c:pt idx="1455">
                  <c:v>3.1410803669000002E-2</c:v>
                </c:pt>
                <c:pt idx="1456">
                  <c:v>3.3018843853000003E-2</c:v>
                </c:pt>
                <c:pt idx="1457">
                  <c:v>3.0606783576999998E-2</c:v>
                </c:pt>
                <c:pt idx="1458">
                  <c:v>2.9802763485000001E-2</c:v>
                </c:pt>
                <c:pt idx="1459">
                  <c:v>3.0606783576999998E-2</c:v>
                </c:pt>
                <c:pt idx="1460">
                  <c:v>2.8998743393000001E-2</c:v>
                </c:pt>
                <c:pt idx="1461">
                  <c:v>2.9802763485000001E-2</c:v>
                </c:pt>
                <c:pt idx="1462">
                  <c:v>3.1410803669000002E-2</c:v>
                </c:pt>
                <c:pt idx="1463">
                  <c:v>2.6586683117999999E-2</c:v>
                </c:pt>
                <c:pt idx="1464">
                  <c:v>2.9802763485000001E-2</c:v>
                </c:pt>
                <c:pt idx="1465">
                  <c:v>2.9802763485000001E-2</c:v>
                </c:pt>
                <c:pt idx="1466">
                  <c:v>3.1410803669000002E-2</c:v>
                </c:pt>
                <c:pt idx="1467">
                  <c:v>2.8998743393000001E-2</c:v>
                </c:pt>
                <c:pt idx="1468">
                  <c:v>3.2214823761000003E-2</c:v>
                </c:pt>
                <c:pt idx="1469">
                  <c:v>2.6586683117999999E-2</c:v>
                </c:pt>
                <c:pt idx="1470">
                  <c:v>3.1410803669000002E-2</c:v>
                </c:pt>
                <c:pt idx="1471">
                  <c:v>3.0606783576999998E-2</c:v>
                </c:pt>
                <c:pt idx="1472">
                  <c:v>2.9802763485000001E-2</c:v>
                </c:pt>
                <c:pt idx="1473">
                  <c:v>3.2214823761000003E-2</c:v>
                </c:pt>
                <c:pt idx="1474">
                  <c:v>3.0606783576999998E-2</c:v>
                </c:pt>
                <c:pt idx="1475">
                  <c:v>3.3822863944999997E-2</c:v>
                </c:pt>
                <c:pt idx="1476">
                  <c:v>2.8998743393000001E-2</c:v>
                </c:pt>
                <c:pt idx="1477">
                  <c:v>2.9802763485000001E-2</c:v>
                </c:pt>
                <c:pt idx="1478">
                  <c:v>2.8998743393000001E-2</c:v>
                </c:pt>
                <c:pt idx="1479">
                  <c:v>3.1410803669000002E-2</c:v>
                </c:pt>
                <c:pt idx="1480">
                  <c:v>2.7390703209999999E-2</c:v>
                </c:pt>
                <c:pt idx="1481">
                  <c:v>2.9802763485000001E-2</c:v>
                </c:pt>
                <c:pt idx="1482">
                  <c:v>2.9802763485000001E-2</c:v>
                </c:pt>
                <c:pt idx="1483">
                  <c:v>3.3018843853000003E-2</c:v>
                </c:pt>
                <c:pt idx="1484">
                  <c:v>2.9802763485000001E-2</c:v>
                </c:pt>
                <c:pt idx="1485">
                  <c:v>3.1410803669000002E-2</c:v>
                </c:pt>
                <c:pt idx="1486">
                  <c:v>2.7390703209999999E-2</c:v>
                </c:pt>
                <c:pt idx="1487">
                  <c:v>3.0606783576999998E-2</c:v>
                </c:pt>
                <c:pt idx="1488">
                  <c:v>2.9802763486E-2</c:v>
                </c:pt>
                <c:pt idx="1489">
                  <c:v>3.0606783576999998E-2</c:v>
                </c:pt>
                <c:pt idx="1490">
                  <c:v>3.1410803669000002E-2</c:v>
                </c:pt>
                <c:pt idx="1491">
                  <c:v>2.9802763486E-2</c:v>
                </c:pt>
                <c:pt idx="1492">
                  <c:v>3.1410803669000002E-2</c:v>
                </c:pt>
                <c:pt idx="1493">
                  <c:v>2.8998743394E-2</c:v>
                </c:pt>
                <c:pt idx="1494">
                  <c:v>2.7390703209999999E-2</c:v>
                </c:pt>
                <c:pt idx="1495">
                  <c:v>3.2214823761000003E-2</c:v>
                </c:pt>
                <c:pt idx="1496">
                  <c:v>3.0606783576999998E-2</c:v>
                </c:pt>
                <c:pt idx="1497">
                  <c:v>2.9802763485000001E-2</c:v>
                </c:pt>
                <c:pt idx="1498">
                  <c:v>2.8194723301000001E-2</c:v>
                </c:pt>
                <c:pt idx="1499">
                  <c:v>3.2214823761000003E-2</c:v>
                </c:pt>
                <c:pt idx="1500">
                  <c:v>2.8998743393000001E-2</c:v>
                </c:pt>
                <c:pt idx="1501">
                  <c:v>2.8194723301999999E-2</c:v>
                </c:pt>
                <c:pt idx="1502">
                  <c:v>2.9802763485000001E-2</c:v>
                </c:pt>
                <c:pt idx="1503">
                  <c:v>2.7390703209999999E-2</c:v>
                </c:pt>
                <c:pt idx="1504">
                  <c:v>3.1410803669000002E-2</c:v>
                </c:pt>
                <c:pt idx="1505">
                  <c:v>3.0606783576999998E-2</c:v>
                </c:pt>
                <c:pt idx="1506">
                  <c:v>3.1410803669000002E-2</c:v>
                </c:pt>
                <c:pt idx="1507">
                  <c:v>2.8998743393000001E-2</c:v>
                </c:pt>
                <c:pt idx="1508">
                  <c:v>2.8998743393000001E-2</c:v>
                </c:pt>
                <c:pt idx="1509">
                  <c:v>2.8998743394E-2</c:v>
                </c:pt>
                <c:pt idx="1510">
                  <c:v>2.8998743393000001E-2</c:v>
                </c:pt>
                <c:pt idx="1511">
                  <c:v>2.9802763485000001E-2</c:v>
                </c:pt>
                <c:pt idx="1512">
                  <c:v>2.9802763485000001E-2</c:v>
                </c:pt>
                <c:pt idx="1513">
                  <c:v>2.6586683117999999E-2</c:v>
                </c:pt>
                <c:pt idx="1514">
                  <c:v>3.2214823761000003E-2</c:v>
                </c:pt>
                <c:pt idx="1515">
                  <c:v>2.8998743393000001E-2</c:v>
                </c:pt>
                <c:pt idx="1516">
                  <c:v>2.7390703209E-2</c:v>
                </c:pt>
                <c:pt idx="1517">
                  <c:v>2.8194723301000001E-2</c:v>
                </c:pt>
                <c:pt idx="1518">
                  <c:v>2.8998743393000001E-2</c:v>
                </c:pt>
                <c:pt idx="1519">
                  <c:v>2.6586683117999999E-2</c:v>
                </c:pt>
                <c:pt idx="1520">
                  <c:v>2.5782663026000002E-2</c:v>
                </c:pt>
                <c:pt idx="1521">
                  <c:v>2.9802763485000001E-2</c:v>
                </c:pt>
                <c:pt idx="1522">
                  <c:v>2.8194723301999999E-2</c:v>
                </c:pt>
                <c:pt idx="1523">
                  <c:v>2.7390703209999999E-2</c:v>
                </c:pt>
                <c:pt idx="1524">
                  <c:v>2.8194723301999999E-2</c:v>
                </c:pt>
                <c:pt idx="1525">
                  <c:v>2.8998743393000001E-2</c:v>
                </c:pt>
                <c:pt idx="1526">
                  <c:v>2.6586683117999999E-2</c:v>
                </c:pt>
                <c:pt idx="1527">
                  <c:v>2.9802763485000001E-2</c:v>
                </c:pt>
                <c:pt idx="1528">
                  <c:v>2.7390703209999999E-2</c:v>
                </c:pt>
                <c:pt idx="1529">
                  <c:v>3.0606783576999998E-2</c:v>
                </c:pt>
                <c:pt idx="1530">
                  <c:v>2.9802763485000001E-2</c:v>
                </c:pt>
                <c:pt idx="1531">
                  <c:v>2.6586683117999999E-2</c:v>
                </c:pt>
                <c:pt idx="1532">
                  <c:v>2.9802763485000001E-2</c:v>
                </c:pt>
                <c:pt idx="1533">
                  <c:v>3.2214823761000003E-2</c:v>
                </c:pt>
                <c:pt idx="1534">
                  <c:v>2.9802763485000001E-2</c:v>
                </c:pt>
                <c:pt idx="1535">
                  <c:v>2.9802763485000001E-2</c:v>
                </c:pt>
                <c:pt idx="1536">
                  <c:v>2.9802763485000001E-2</c:v>
                </c:pt>
                <c:pt idx="1537">
                  <c:v>3.1410803669000002E-2</c:v>
                </c:pt>
                <c:pt idx="1538">
                  <c:v>3.0606783576999998E-2</c:v>
                </c:pt>
                <c:pt idx="1539">
                  <c:v>3.4626884036999997E-2</c:v>
                </c:pt>
                <c:pt idx="1540">
                  <c:v>2.9802763485000001E-2</c:v>
                </c:pt>
                <c:pt idx="1541">
                  <c:v>3.0606783576999998E-2</c:v>
                </c:pt>
                <c:pt idx="1542">
                  <c:v>3.1410803669000002E-2</c:v>
                </c:pt>
                <c:pt idx="1543">
                  <c:v>3.0606783576999998E-2</c:v>
                </c:pt>
                <c:pt idx="1544">
                  <c:v>2.9802763485000001E-2</c:v>
                </c:pt>
                <c:pt idx="1545">
                  <c:v>2.9802763485000001E-2</c:v>
                </c:pt>
                <c:pt idx="1546">
                  <c:v>2.9802763485000001E-2</c:v>
                </c:pt>
                <c:pt idx="1547">
                  <c:v>2.8194723301999999E-2</c:v>
                </c:pt>
                <c:pt idx="1548">
                  <c:v>2.8998743393000001E-2</c:v>
                </c:pt>
                <c:pt idx="1549">
                  <c:v>3.3018843853000003E-2</c:v>
                </c:pt>
                <c:pt idx="1550">
                  <c:v>2.9802763485000001E-2</c:v>
                </c:pt>
                <c:pt idx="1551">
                  <c:v>2.8194723301000001E-2</c:v>
                </c:pt>
                <c:pt idx="1552">
                  <c:v>2.9802763485000001E-2</c:v>
                </c:pt>
                <c:pt idx="1553">
                  <c:v>3.1410803669000002E-2</c:v>
                </c:pt>
                <c:pt idx="1554">
                  <c:v>2.6586683117999999E-2</c:v>
                </c:pt>
                <c:pt idx="1555">
                  <c:v>2.4174622842000001E-2</c:v>
                </c:pt>
                <c:pt idx="1556">
                  <c:v>2.4978642934000001E-2</c:v>
                </c:pt>
                <c:pt idx="1557">
                  <c:v>2.5782663026000002E-2</c:v>
                </c:pt>
                <c:pt idx="1558">
                  <c:v>2.0154522381999999E-2</c:v>
                </c:pt>
                <c:pt idx="1559">
                  <c:v>2.0958542475000001E-2</c:v>
                </c:pt>
                <c:pt idx="1560">
                  <c:v>2.1762562566E-2</c:v>
                </c:pt>
                <c:pt idx="1561">
                  <c:v>1.6938442014999999E-2</c:v>
                </c:pt>
                <c:pt idx="1562">
                  <c:v>1.4526381739E-2</c:v>
                </c:pt>
                <c:pt idx="1563">
                  <c:v>1.2114321464000001E-2</c:v>
                </c:pt>
                <c:pt idx="1564">
                  <c:v>1.050628128E-2</c:v>
                </c:pt>
                <c:pt idx="1565">
                  <c:v>1.2114321464000001E-2</c:v>
                </c:pt>
                <c:pt idx="1566">
                  <c:v>7.290200912E-3</c:v>
                </c:pt>
                <c:pt idx="1567">
                  <c:v>1.6620602689999999E-3</c:v>
                </c:pt>
                <c:pt idx="1568">
                  <c:v>7.290200912E-3</c:v>
                </c:pt>
                <c:pt idx="1569">
                  <c:v>-5.5741205579999996E-3</c:v>
                </c:pt>
                <c:pt idx="1570">
                  <c:v>-3.1620602820000001E-3</c:v>
                </c:pt>
                <c:pt idx="1571">
                  <c:v>-4.7701004660000001E-3</c:v>
                </c:pt>
                <c:pt idx="1572">
                  <c:v>-8.790200925E-3</c:v>
                </c:pt>
                <c:pt idx="1573">
                  <c:v>-7.9861808329999995E-3</c:v>
                </c:pt>
                <c:pt idx="1574">
                  <c:v>-1.3614321477000001E-2</c:v>
                </c:pt>
                <c:pt idx="1575">
                  <c:v>-1.0398241109000001E-2</c:v>
                </c:pt>
                <c:pt idx="1576">
                  <c:v>-1.5222361661E-2</c:v>
                </c:pt>
                <c:pt idx="1577">
                  <c:v>-1.2810301385E-2</c:v>
                </c:pt>
                <c:pt idx="1578">
                  <c:v>-2.0046482211999998E-2</c:v>
                </c:pt>
                <c:pt idx="1579">
                  <c:v>-1.4418341568000001E-2</c:v>
                </c:pt>
                <c:pt idx="1580">
                  <c:v>-2.0850502303999999E-2</c:v>
                </c:pt>
                <c:pt idx="1581">
                  <c:v>-2.0046482211999998E-2</c:v>
                </c:pt>
                <c:pt idx="1582">
                  <c:v>-1.8438442028000001E-2</c:v>
                </c:pt>
                <c:pt idx="1583">
                  <c:v>-2.4066582671000002E-2</c:v>
                </c:pt>
                <c:pt idx="1584">
                  <c:v>-1.8438442028000001E-2</c:v>
                </c:pt>
                <c:pt idx="1585">
                  <c:v>-2.1654522395999999E-2</c:v>
                </c:pt>
                <c:pt idx="1586">
                  <c:v>-2.0046482211999998E-2</c:v>
                </c:pt>
                <c:pt idx="1587">
                  <c:v>-2.4066582671000002E-2</c:v>
                </c:pt>
                <c:pt idx="1588">
                  <c:v>-2.0046482211999998E-2</c:v>
                </c:pt>
                <c:pt idx="1589">
                  <c:v>-2.2458542487000001E-2</c:v>
                </c:pt>
                <c:pt idx="1590">
                  <c:v>-1.9242462120000001E-2</c:v>
                </c:pt>
                <c:pt idx="1591">
                  <c:v>-1.9242462120000001E-2</c:v>
                </c:pt>
                <c:pt idx="1592">
                  <c:v>-2.0046482211999998E-2</c:v>
                </c:pt>
                <c:pt idx="1593">
                  <c:v>-2.0850502303999999E-2</c:v>
                </c:pt>
                <c:pt idx="1594">
                  <c:v>-1.9242462120000001E-2</c:v>
                </c:pt>
                <c:pt idx="1595">
                  <c:v>-1.8438442028000001E-2</c:v>
                </c:pt>
                <c:pt idx="1596">
                  <c:v>-1.8438442028000001E-2</c:v>
                </c:pt>
                <c:pt idx="1597">
                  <c:v>-1.9242462120000001E-2</c:v>
                </c:pt>
                <c:pt idx="1598">
                  <c:v>-1.6026381752999998E-2</c:v>
                </c:pt>
                <c:pt idx="1599">
                  <c:v>-2.0046482211999998E-2</c:v>
                </c:pt>
                <c:pt idx="1600">
                  <c:v>-1.6830401844E-2</c:v>
                </c:pt>
                <c:pt idx="1601">
                  <c:v>-1.9242462120000001E-2</c:v>
                </c:pt>
                <c:pt idx="1602">
                  <c:v>-2.326256258E-2</c:v>
                </c:pt>
                <c:pt idx="1603">
                  <c:v>-1.9242462120000001E-2</c:v>
                </c:pt>
                <c:pt idx="1604">
                  <c:v>-2.0850502303999999E-2</c:v>
                </c:pt>
                <c:pt idx="1605">
                  <c:v>-2.0850502303999999E-2</c:v>
                </c:pt>
                <c:pt idx="1606">
                  <c:v>-2.2458542487000001E-2</c:v>
                </c:pt>
                <c:pt idx="1607">
                  <c:v>-2.1654522395999999E-2</c:v>
                </c:pt>
                <c:pt idx="1608">
                  <c:v>-2.5674622854999999E-2</c:v>
                </c:pt>
                <c:pt idx="1609">
                  <c:v>-2.0850502303999999E-2</c:v>
                </c:pt>
                <c:pt idx="1610">
                  <c:v>-2.4870602762999999E-2</c:v>
                </c:pt>
                <c:pt idx="1611">
                  <c:v>-2.3262562579000001E-2</c:v>
                </c:pt>
                <c:pt idx="1612">
                  <c:v>-2.2458542488E-2</c:v>
                </c:pt>
                <c:pt idx="1613">
                  <c:v>-2.326256258E-2</c:v>
                </c:pt>
                <c:pt idx="1614">
                  <c:v>-2.7282663039E-2</c:v>
                </c:pt>
                <c:pt idx="1615">
                  <c:v>-2.2458542488E-2</c:v>
                </c:pt>
                <c:pt idx="1616">
                  <c:v>-2.5674622854999999E-2</c:v>
                </c:pt>
                <c:pt idx="1617">
                  <c:v>-2.8086683131E-2</c:v>
                </c:pt>
                <c:pt idx="1618">
                  <c:v>-2.5674622854999999E-2</c:v>
                </c:pt>
                <c:pt idx="1619">
                  <c:v>-2.8890703223000001E-2</c:v>
                </c:pt>
                <c:pt idx="1620">
                  <c:v>-2.0850502303999999E-2</c:v>
                </c:pt>
                <c:pt idx="1621">
                  <c:v>-3.1302763498E-2</c:v>
                </c:pt>
                <c:pt idx="1622">
                  <c:v>-2.4870602762999999E-2</c:v>
                </c:pt>
                <c:pt idx="1623">
                  <c:v>-3.0498743405999999E-2</c:v>
                </c:pt>
                <c:pt idx="1624">
                  <c:v>-2.5674622854999999E-2</c:v>
                </c:pt>
                <c:pt idx="1625">
                  <c:v>-2.8086683131E-2</c:v>
                </c:pt>
                <c:pt idx="1626">
                  <c:v>-2.5674622854999999E-2</c:v>
                </c:pt>
                <c:pt idx="1627">
                  <c:v>-2.5674622854999999E-2</c:v>
                </c:pt>
                <c:pt idx="1628">
                  <c:v>-2.7282663039E-2</c:v>
                </c:pt>
                <c:pt idx="1629">
                  <c:v>-2.6478642946999999E-2</c:v>
                </c:pt>
                <c:pt idx="1630">
                  <c:v>-2.8086683131E-2</c:v>
                </c:pt>
                <c:pt idx="1631">
                  <c:v>-2.5674622854999999E-2</c:v>
                </c:pt>
                <c:pt idx="1632">
                  <c:v>-2.8086683131E-2</c:v>
                </c:pt>
                <c:pt idx="1633">
                  <c:v>-2.8890703223000001E-2</c:v>
                </c:pt>
                <c:pt idx="1634">
                  <c:v>-2.7282663039E-2</c:v>
                </c:pt>
                <c:pt idx="1635">
                  <c:v>-2.9694723315000001E-2</c:v>
                </c:pt>
                <c:pt idx="1636">
                  <c:v>-2.7282663039E-2</c:v>
                </c:pt>
                <c:pt idx="1637">
                  <c:v>-2.5674622854999999E-2</c:v>
                </c:pt>
                <c:pt idx="1638">
                  <c:v>-2.9694723313999999E-2</c:v>
                </c:pt>
                <c:pt idx="1639">
                  <c:v>-2.4066582672E-2</c:v>
                </c:pt>
                <c:pt idx="1640">
                  <c:v>-2.6478642946999999E-2</c:v>
                </c:pt>
                <c:pt idx="1641">
                  <c:v>-2.7282663039E-2</c:v>
                </c:pt>
                <c:pt idx="1642">
                  <c:v>-2.8890703223000001E-2</c:v>
                </c:pt>
                <c:pt idx="1643">
                  <c:v>-2.8086683131E-2</c:v>
                </c:pt>
                <c:pt idx="1644">
                  <c:v>-2.7282663039E-2</c:v>
                </c:pt>
                <c:pt idx="1645">
                  <c:v>-2.5674622854999999E-2</c:v>
                </c:pt>
                <c:pt idx="1646">
                  <c:v>-2.8890703223000001E-2</c:v>
                </c:pt>
                <c:pt idx="1647">
                  <c:v>-2.4870602762999999E-2</c:v>
                </c:pt>
                <c:pt idx="1648">
                  <c:v>-2.4870602762999999E-2</c:v>
                </c:pt>
                <c:pt idx="1649">
                  <c:v>-2.9694723313999999E-2</c:v>
                </c:pt>
                <c:pt idx="1650">
                  <c:v>-2.8086683131E-2</c:v>
                </c:pt>
                <c:pt idx="1651">
                  <c:v>-2.9694723313999999E-2</c:v>
                </c:pt>
                <c:pt idx="1652">
                  <c:v>-2.9694723315000001E-2</c:v>
                </c:pt>
                <c:pt idx="1653">
                  <c:v>-2.6478642946999999E-2</c:v>
                </c:pt>
                <c:pt idx="1654">
                  <c:v>-2.8890703223000001E-2</c:v>
                </c:pt>
                <c:pt idx="1655">
                  <c:v>-2.8890703223000001E-2</c:v>
                </c:pt>
                <c:pt idx="1656">
                  <c:v>-2.6478642946999999E-2</c:v>
                </c:pt>
                <c:pt idx="1657">
                  <c:v>-2.9694723315000001E-2</c:v>
                </c:pt>
                <c:pt idx="1658">
                  <c:v>-2.9694723313999999E-2</c:v>
                </c:pt>
                <c:pt idx="1659">
                  <c:v>-2.8890703223000001E-2</c:v>
                </c:pt>
                <c:pt idx="1660">
                  <c:v>-2.8890703223000001E-2</c:v>
                </c:pt>
                <c:pt idx="1661">
                  <c:v>-3.0498743407000001E-2</c:v>
                </c:pt>
                <c:pt idx="1662">
                  <c:v>-3.1302763498E-2</c:v>
                </c:pt>
                <c:pt idx="1663">
                  <c:v>-2.8890703223000001E-2</c:v>
                </c:pt>
                <c:pt idx="1664">
                  <c:v>-3.1302763498E-2</c:v>
                </c:pt>
                <c:pt idx="1665">
                  <c:v>-3.210678359E-2</c:v>
                </c:pt>
                <c:pt idx="1666">
                  <c:v>-3.3714823774000001E-2</c:v>
                </c:pt>
                <c:pt idx="1667">
                  <c:v>-3.2910803682000001E-2</c:v>
                </c:pt>
                <c:pt idx="1668">
                  <c:v>-3.2910803682000001E-2</c:v>
                </c:pt>
                <c:pt idx="1669">
                  <c:v>-3.4518843866000001E-2</c:v>
                </c:pt>
                <c:pt idx="1670">
                  <c:v>-3.3714823774000001E-2</c:v>
                </c:pt>
                <c:pt idx="1671">
                  <c:v>-3.6126884050000002E-2</c:v>
                </c:pt>
                <c:pt idx="1672">
                  <c:v>-3.3714823774000001E-2</c:v>
                </c:pt>
                <c:pt idx="1673">
                  <c:v>-3.5322863958000002E-2</c:v>
                </c:pt>
                <c:pt idx="1674">
                  <c:v>-3.2910803682000001E-2</c:v>
                </c:pt>
                <c:pt idx="1675">
                  <c:v>-3.4518843866000001E-2</c:v>
                </c:pt>
                <c:pt idx="1676">
                  <c:v>-3.5322863958000002E-2</c:v>
                </c:pt>
                <c:pt idx="1677">
                  <c:v>-3.6126884050000002E-2</c:v>
                </c:pt>
                <c:pt idx="1678">
                  <c:v>-3.4518843866000001E-2</c:v>
                </c:pt>
                <c:pt idx="1679">
                  <c:v>-3.2910803682000001E-2</c:v>
                </c:pt>
                <c:pt idx="1680">
                  <c:v>-3.6126884050000002E-2</c:v>
                </c:pt>
                <c:pt idx="1681">
                  <c:v>-3.2910803682000001E-2</c:v>
                </c:pt>
                <c:pt idx="1682">
                  <c:v>-3.4518843866000001E-2</c:v>
                </c:pt>
                <c:pt idx="1683">
                  <c:v>-3.210678359E-2</c:v>
                </c:pt>
                <c:pt idx="1684">
                  <c:v>-3.2910803682999999E-2</c:v>
                </c:pt>
                <c:pt idx="1685">
                  <c:v>-3.210678359E-2</c:v>
                </c:pt>
                <c:pt idx="1686">
                  <c:v>-2.8890703223000001E-2</c:v>
                </c:pt>
                <c:pt idx="1687">
                  <c:v>-3.3714823774000001E-2</c:v>
                </c:pt>
                <c:pt idx="1688">
                  <c:v>-3.4518843866000001E-2</c:v>
                </c:pt>
                <c:pt idx="1689">
                  <c:v>-3.4518843866000001E-2</c:v>
                </c:pt>
                <c:pt idx="1690">
                  <c:v>-3.4518843866000001E-2</c:v>
                </c:pt>
                <c:pt idx="1691">
                  <c:v>-3.3714823774000001E-2</c:v>
                </c:pt>
                <c:pt idx="1692">
                  <c:v>-3.210678359E-2</c:v>
                </c:pt>
                <c:pt idx="1693">
                  <c:v>-3.1302763498E-2</c:v>
                </c:pt>
                <c:pt idx="1694">
                  <c:v>-3.1302763498999998E-2</c:v>
                </c:pt>
                <c:pt idx="1695">
                  <c:v>-2.8890703223000001E-2</c:v>
                </c:pt>
                <c:pt idx="1696">
                  <c:v>-3.2910803682000001E-2</c:v>
                </c:pt>
                <c:pt idx="1697">
                  <c:v>-3.210678359E-2</c:v>
                </c:pt>
                <c:pt idx="1698">
                  <c:v>-3.0498743407000001E-2</c:v>
                </c:pt>
                <c:pt idx="1699">
                  <c:v>-3.1302763498999998E-2</c:v>
                </c:pt>
                <c:pt idx="1700">
                  <c:v>-2.9694723315000001E-2</c:v>
                </c:pt>
                <c:pt idx="1701">
                  <c:v>-3.2910803682000001E-2</c:v>
                </c:pt>
                <c:pt idx="1702">
                  <c:v>-3.2910803682000001E-2</c:v>
                </c:pt>
                <c:pt idx="1703">
                  <c:v>-3.6126884050000002E-2</c:v>
                </c:pt>
                <c:pt idx="1704">
                  <c:v>-3.2910803682000001E-2</c:v>
                </c:pt>
                <c:pt idx="1705">
                  <c:v>-3.4518843866000001E-2</c:v>
                </c:pt>
                <c:pt idx="1706">
                  <c:v>-3.210678359E-2</c:v>
                </c:pt>
                <c:pt idx="1707">
                  <c:v>-3.3714823774000001E-2</c:v>
                </c:pt>
                <c:pt idx="1708">
                  <c:v>-3.1302763498999998E-2</c:v>
                </c:pt>
                <c:pt idx="1709">
                  <c:v>-3.1302763498E-2</c:v>
                </c:pt>
                <c:pt idx="1710">
                  <c:v>-3.6930904140999997E-2</c:v>
                </c:pt>
                <c:pt idx="1711">
                  <c:v>-3.2910803682000001E-2</c:v>
                </c:pt>
                <c:pt idx="1712">
                  <c:v>-3.4518843866000001E-2</c:v>
                </c:pt>
                <c:pt idx="1713">
                  <c:v>-3.2910803682000001E-2</c:v>
                </c:pt>
                <c:pt idx="1714">
                  <c:v>-3.4518843866000001E-2</c:v>
                </c:pt>
                <c:pt idx="1715">
                  <c:v>-3.5322863958000002E-2</c:v>
                </c:pt>
                <c:pt idx="1716">
                  <c:v>-3.6126884050000002E-2</c:v>
                </c:pt>
                <c:pt idx="1717">
                  <c:v>-3.6930904142000003E-2</c:v>
                </c:pt>
                <c:pt idx="1718">
                  <c:v>-3.3714823774000001E-2</c:v>
                </c:pt>
                <c:pt idx="1719">
                  <c:v>-3.6930904140999997E-2</c:v>
                </c:pt>
                <c:pt idx="1720">
                  <c:v>-3.6126884050000002E-2</c:v>
                </c:pt>
                <c:pt idx="1721">
                  <c:v>-3.4518843866000001E-2</c:v>
                </c:pt>
                <c:pt idx="1722">
                  <c:v>-3.4518843866000001E-2</c:v>
                </c:pt>
                <c:pt idx="1723">
                  <c:v>-3.1302763498999998E-2</c:v>
                </c:pt>
                <c:pt idx="1724">
                  <c:v>-3.4518843866000001E-2</c:v>
                </c:pt>
                <c:pt idx="1725">
                  <c:v>-3.3714823774000001E-2</c:v>
                </c:pt>
                <c:pt idx="1726">
                  <c:v>-3.3714823774000001E-2</c:v>
                </c:pt>
                <c:pt idx="1727">
                  <c:v>-3.4518843866000001E-2</c:v>
                </c:pt>
                <c:pt idx="1728">
                  <c:v>-3.3714823774000001E-2</c:v>
                </c:pt>
                <c:pt idx="1729">
                  <c:v>-3.4518843866000001E-2</c:v>
                </c:pt>
                <c:pt idx="1730">
                  <c:v>-3.6126884050000002E-2</c:v>
                </c:pt>
                <c:pt idx="1731">
                  <c:v>-3.5322863958000002E-2</c:v>
                </c:pt>
                <c:pt idx="1732">
                  <c:v>-3.1302763498E-2</c:v>
                </c:pt>
                <c:pt idx="1733">
                  <c:v>-3.210678359E-2</c:v>
                </c:pt>
                <c:pt idx="1734">
                  <c:v>-3.6126884050000002E-2</c:v>
                </c:pt>
                <c:pt idx="1735">
                  <c:v>-3.4518843866000001E-2</c:v>
                </c:pt>
                <c:pt idx="1736">
                  <c:v>-3.210678359E-2</c:v>
                </c:pt>
                <c:pt idx="1737">
                  <c:v>-3.4518843866000001E-2</c:v>
                </c:pt>
                <c:pt idx="1738">
                  <c:v>-3.2910803682000001E-2</c:v>
                </c:pt>
                <c:pt idx="1739">
                  <c:v>-3.3714823774000001E-2</c:v>
                </c:pt>
                <c:pt idx="1740">
                  <c:v>-3.0498743407000001E-2</c:v>
                </c:pt>
                <c:pt idx="1741">
                  <c:v>-3.3714823774000001E-2</c:v>
                </c:pt>
                <c:pt idx="1742">
                  <c:v>-3.2910803682000001E-2</c:v>
                </c:pt>
                <c:pt idx="1743">
                  <c:v>-3.4518843866000001E-2</c:v>
                </c:pt>
                <c:pt idx="1744">
                  <c:v>-3.0498743407000001E-2</c:v>
                </c:pt>
                <c:pt idx="1745">
                  <c:v>-3.4518843866000001E-2</c:v>
                </c:pt>
                <c:pt idx="1746">
                  <c:v>-3.4518843866000001E-2</c:v>
                </c:pt>
                <c:pt idx="1747">
                  <c:v>-3.3714823774000001E-2</c:v>
                </c:pt>
                <c:pt idx="1748">
                  <c:v>-3.6126884050000002E-2</c:v>
                </c:pt>
                <c:pt idx="1749">
                  <c:v>-3.6930904142000003E-2</c:v>
                </c:pt>
                <c:pt idx="1750">
                  <c:v>-3.4518843866000001E-2</c:v>
                </c:pt>
                <c:pt idx="1751">
                  <c:v>-3.6930904142000003E-2</c:v>
                </c:pt>
                <c:pt idx="1752">
                  <c:v>-3.7734924234000003E-2</c:v>
                </c:pt>
                <c:pt idx="1753">
                  <c:v>-3.6126884050000002E-2</c:v>
                </c:pt>
                <c:pt idx="1754">
                  <c:v>-3.5322863958000002E-2</c:v>
                </c:pt>
                <c:pt idx="1755">
                  <c:v>-3.2910803682000001E-2</c:v>
                </c:pt>
                <c:pt idx="1756">
                  <c:v>-3.6126884050000002E-2</c:v>
                </c:pt>
                <c:pt idx="1757">
                  <c:v>-3.6126884050000002E-2</c:v>
                </c:pt>
                <c:pt idx="1758">
                  <c:v>-3.2910803682999999E-2</c:v>
                </c:pt>
                <c:pt idx="1759">
                  <c:v>-3.6930904142000003E-2</c:v>
                </c:pt>
                <c:pt idx="1760">
                  <c:v>-3.5322863958000002E-2</c:v>
                </c:pt>
                <c:pt idx="1761">
                  <c:v>-3.8538944326000003E-2</c:v>
                </c:pt>
                <c:pt idx="1762">
                  <c:v>-3.6126884050000002E-2</c:v>
                </c:pt>
                <c:pt idx="1763">
                  <c:v>-3.4518843866000001E-2</c:v>
                </c:pt>
                <c:pt idx="1764">
                  <c:v>-3.7734924232999997E-2</c:v>
                </c:pt>
                <c:pt idx="1765">
                  <c:v>-3.2910803682000001E-2</c:v>
                </c:pt>
                <c:pt idx="1766">
                  <c:v>-3.4518843866000001E-2</c:v>
                </c:pt>
                <c:pt idx="1767">
                  <c:v>-3.6930904142000003E-2</c:v>
                </c:pt>
                <c:pt idx="1768">
                  <c:v>-3.1302763498E-2</c:v>
                </c:pt>
                <c:pt idx="1769">
                  <c:v>-3.7734924232999997E-2</c:v>
                </c:pt>
                <c:pt idx="1770">
                  <c:v>-3.6930904140999997E-2</c:v>
                </c:pt>
                <c:pt idx="1771">
                  <c:v>-3.1302763498999998E-2</c:v>
                </c:pt>
                <c:pt idx="1772">
                  <c:v>-3.6126884050000002E-2</c:v>
                </c:pt>
                <c:pt idx="1773">
                  <c:v>-3.2910803682999999E-2</c:v>
                </c:pt>
                <c:pt idx="1774">
                  <c:v>-3.6126884050000002E-2</c:v>
                </c:pt>
                <c:pt idx="1775">
                  <c:v>-3.5322863958000002E-2</c:v>
                </c:pt>
                <c:pt idx="1776">
                  <c:v>-3.5322863958000002E-2</c:v>
                </c:pt>
                <c:pt idx="1777">
                  <c:v>-3.2910803682000001E-2</c:v>
                </c:pt>
                <c:pt idx="1778">
                  <c:v>-4.0146984508999999E-2</c:v>
                </c:pt>
                <c:pt idx="1779">
                  <c:v>-3.4518843866000001E-2</c:v>
                </c:pt>
                <c:pt idx="1780">
                  <c:v>-3.5322863958000002E-2</c:v>
                </c:pt>
                <c:pt idx="1781">
                  <c:v>-3.6930904142000003E-2</c:v>
                </c:pt>
                <c:pt idx="1782">
                  <c:v>-3.4518843866000001E-2</c:v>
                </c:pt>
                <c:pt idx="1783">
                  <c:v>-3.5322863958000002E-2</c:v>
                </c:pt>
                <c:pt idx="1784">
                  <c:v>-3.6126884050000002E-2</c:v>
                </c:pt>
                <c:pt idx="1785">
                  <c:v>-3.7734924232999997E-2</c:v>
                </c:pt>
                <c:pt idx="1786">
                  <c:v>-3.6930904142000003E-2</c:v>
                </c:pt>
                <c:pt idx="1787">
                  <c:v>-3.6930904142000003E-2</c:v>
                </c:pt>
                <c:pt idx="1788">
                  <c:v>-3.3714823774000001E-2</c:v>
                </c:pt>
                <c:pt idx="1789">
                  <c:v>-3.6126884050000002E-2</c:v>
                </c:pt>
                <c:pt idx="1790">
                  <c:v>-3.7734924234000003E-2</c:v>
                </c:pt>
                <c:pt idx="1791">
                  <c:v>-3.4518843866000001E-2</c:v>
                </c:pt>
                <c:pt idx="1792">
                  <c:v>-3.5322863958000002E-2</c:v>
                </c:pt>
                <c:pt idx="1793">
                  <c:v>-3.2106783590999999E-2</c:v>
                </c:pt>
                <c:pt idx="1794">
                  <c:v>-3.9342964416999998E-2</c:v>
                </c:pt>
                <c:pt idx="1795">
                  <c:v>-3.5322863958000002E-2</c:v>
                </c:pt>
                <c:pt idx="1796">
                  <c:v>-3.7734924232999997E-2</c:v>
                </c:pt>
                <c:pt idx="1797">
                  <c:v>-3.5322863958000002E-2</c:v>
                </c:pt>
                <c:pt idx="1798">
                  <c:v>-3.6126884049000003E-2</c:v>
                </c:pt>
                <c:pt idx="1799">
                  <c:v>-3.6126884050000002E-2</c:v>
                </c:pt>
                <c:pt idx="1800">
                  <c:v>-3.5322863958000002E-2</c:v>
                </c:pt>
                <c:pt idx="1801">
                  <c:v>-3.4518843866000001E-2</c:v>
                </c:pt>
                <c:pt idx="1802">
                  <c:v>-3.5322863958000002E-2</c:v>
                </c:pt>
                <c:pt idx="1803">
                  <c:v>-3.6930904142000003E-2</c:v>
                </c:pt>
                <c:pt idx="1804">
                  <c:v>-3.3714823774000001E-2</c:v>
                </c:pt>
                <c:pt idx="1805">
                  <c:v>-3.6930904142000003E-2</c:v>
                </c:pt>
                <c:pt idx="1806">
                  <c:v>-3.6126884050000002E-2</c:v>
                </c:pt>
                <c:pt idx="1807">
                  <c:v>-3.5322863958000002E-2</c:v>
                </c:pt>
                <c:pt idx="1808">
                  <c:v>-3.8538944324999998E-2</c:v>
                </c:pt>
                <c:pt idx="1809">
                  <c:v>-3.3714823774000001E-2</c:v>
                </c:pt>
                <c:pt idx="1810">
                  <c:v>-3.5322863958000002E-2</c:v>
                </c:pt>
                <c:pt idx="1811">
                  <c:v>-3.4518843866000001E-2</c:v>
                </c:pt>
                <c:pt idx="1812">
                  <c:v>-3.5322863957000003E-2</c:v>
                </c:pt>
                <c:pt idx="1813">
                  <c:v>-3.5322863958000002E-2</c:v>
                </c:pt>
                <c:pt idx="1814">
                  <c:v>-3.3714823774000001E-2</c:v>
                </c:pt>
                <c:pt idx="1815">
                  <c:v>-3.6126884050000002E-2</c:v>
                </c:pt>
                <c:pt idx="1816">
                  <c:v>-3.8538944324999998E-2</c:v>
                </c:pt>
                <c:pt idx="1817">
                  <c:v>-3.3714823774000001E-2</c:v>
                </c:pt>
                <c:pt idx="1818">
                  <c:v>-3.4518843866000001E-2</c:v>
                </c:pt>
                <c:pt idx="1819">
                  <c:v>-3.7734924234000003E-2</c:v>
                </c:pt>
                <c:pt idx="1820">
                  <c:v>-3.210678359E-2</c:v>
                </c:pt>
                <c:pt idx="1821">
                  <c:v>-4.0146984508999999E-2</c:v>
                </c:pt>
                <c:pt idx="1822">
                  <c:v>-3.3714823774000001E-2</c:v>
                </c:pt>
                <c:pt idx="1823">
                  <c:v>-3.7734924234000003E-2</c:v>
                </c:pt>
                <c:pt idx="1824">
                  <c:v>-3.6930904142000003E-2</c:v>
                </c:pt>
                <c:pt idx="1825">
                  <c:v>-3.2910803682000001E-2</c:v>
                </c:pt>
                <c:pt idx="1826">
                  <c:v>-3.9342964416999998E-2</c:v>
                </c:pt>
                <c:pt idx="1827">
                  <c:v>-3.5322863958000002E-2</c:v>
                </c:pt>
                <c:pt idx="1828">
                  <c:v>-3.6930904140999997E-2</c:v>
                </c:pt>
                <c:pt idx="1829">
                  <c:v>-3.7734924234000003E-2</c:v>
                </c:pt>
                <c:pt idx="1830">
                  <c:v>-3.4518843866000001E-2</c:v>
                </c:pt>
                <c:pt idx="1831">
                  <c:v>-3.4518843866000001E-2</c:v>
                </c:pt>
                <c:pt idx="1832">
                  <c:v>-3.7734924234000003E-2</c:v>
                </c:pt>
                <c:pt idx="1833">
                  <c:v>-3.7734924234000003E-2</c:v>
                </c:pt>
                <c:pt idx="1834">
                  <c:v>-3.6126884050000002E-2</c:v>
                </c:pt>
                <c:pt idx="1835">
                  <c:v>-3.5322863958000002E-2</c:v>
                </c:pt>
                <c:pt idx="1836">
                  <c:v>-3.2106783590999999E-2</c:v>
                </c:pt>
                <c:pt idx="1837">
                  <c:v>-3.7734924232999997E-2</c:v>
                </c:pt>
                <c:pt idx="1838">
                  <c:v>-3.210678359E-2</c:v>
                </c:pt>
                <c:pt idx="1839">
                  <c:v>-3.2910803682000001E-2</c:v>
                </c:pt>
                <c:pt idx="1840">
                  <c:v>-3.3714823774000001E-2</c:v>
                </c:pt>
                <c:pt idx="1841">
                  <c:v>-3.2910803682000001E-2</c:v>
                </c:pt>
                <c:pt idx="1842">
                  <c:v>-3.210678359E-2</c:v>
                </c:pt>
                <c:pt idx="1843">
                  <c:v>-3.2910803682000001E-2</c:v>
                </c:pt>
                <c:pt idx="1844">
                  <c:v>-3.4518843866000001E-2</c:v>
                </c:pt>
                <c:pt idx="1845">
                  <c:v>-3.2106783590999999E-2</c:v>
                </c:pt>
                <c:pt idx="1846">
                  <c:v>-3.210678359E-2</c:v>
                </c:pt>
                <c:pt idx="1847">
                  <c:v>-3.5322863958000002E-2</c:v>
                </c:pt>
                <c:pt idx="1848">
                  <c:v>-3.5322863958000002E-2</c:v>
                </c:pt>
                <c:pt idx="1849">
                  <c:v>-3.4518843866000001E-2</c:v>
                </c:pt>
                <c:pt idx="1850">
                  <c:v>-3.5322863958000002E-2</c:v>
                </c:pt>
                <c:pt idx="1851">
                  <c:v>-3.3714823774000001E-2</c:v>
                </c:pt>
                <c:pt idx="1852">
                  <c:v>-3.4518843866000001E-2</c:v>
                </c:pt>
                <c:pt idx="1853">
                  <c:v>-3.5322863958000002E-2</c:v>
                </c:pt>
                <c:pt idx="1854">
                  <c:v>-3.7734924232999997E-2</c:v>
                </c:pt>
                <c:pt idx="1855">
                  <c:v>-3.5322863958000002E-2</c:v>
                </c:pt>
                <c:pt idx="1856">
                  <c:v>-3.6126884050000002E-2</c:v>
                </c:pt>
                <c:pt idx="1857">
                  <c:v>-3.3714823774000001E-2</c:v>
                </c:pt>
                <c:pt idx="1858">
                  <c:v>-3.5322863958000002E-2</c:v>
                </c:pt>
                <c:pt idx="1859">
                  <c:v>-3.2910803682000001E-2</c:v>
                </c:pt>
                <c:pt idx="1860">
                  <c:v>-3.4518843866000001E-2</c:v>
                </c:pt>
                <c:pt idx="1861">
                  <c:v>-3.2910803682000001E-2</c:v>
                </c:pt>
                <c:pt idx="1862">
                  <c:v>-3.4518843866000001E-2</c:v>
                </c:pt>
                <c:pt idx="1863">
                  <c:v>-3.6126884050000002E-2</c:v>
                </c:pt>
                <c:pt idx="1864">
                  <c:v>-3.6126884050000002E-2</c:v>
                </c:pt>
                <c:pt idx="1865">
                  <c:v>-3.4518843866000001E-2</c:v>
                </c:pt>
                <c:pt idx="1866">
                  <c:v>-3.4518843866000001E-2</c:v>
                </c:pt>
                <c:pt idx="1867">
                  <c:v>-3.5322863958000002E-2</c:v>
                </c:pt>
                <c:pt idx="1868">
                  <c:v>-3.6930904142000003E-2</c:v>
                </c:pt>
                <c:pt idx="1869">
                  <c:v>-3.7734924234000003E-2</c:v>
                </c:pt>
                <c:pt idx="1870">
                  <c:v>-3.6930904140999997E-2</c:v>
                </c:pt>
                <c:pt idx="1871">
                  <c:v>-3.7734924232999997E-2</c:v>
                </c:pt>
                <c:pt idx="1872">
                  <c:v>-3.3714823774000001E-2</c:v>
                </c:pt>
                <c:pt idx="1873">
                  <c:v>-3.6930904142000003E-2</c:v>
                </c:pt>
                <c:pt idx="1874">
                  <c:v>-3.6930904142000003E-2</c:v>
                </c:pt>
                <c:pt idx="1875">
                  <c:v>-3.4518843866000001E-2</c:v>
                </c:pt>
                <c:pt idx="1876">
                  <c:v>-3.6126884050000002E-2</c:v>
                </c:pt>
                <c:pt idx="1877">
                  <c:v>-3.8538944324999998E-2</c:v>
                </c:pt>
                <c:pt idx="1878">
                  <c:v>-3.6126884050000002E-2</c:v>
                </c:pt>
                <c:pt idx="1879">
                  <c:v>-3.3714823774000001E-2</c:v>
                </c:pt>
                <c:pt idx="1880">
                  <c:v>-3.7734924234000003E-2</c:v>
                </c:pt>
                <c:pt idx="1881">
                  <c:v>-3.5322863958000002E-2</c:v>
                </c:pt>
                <c:pt idx="1882">
                  <c:v>-3.7734924232999997E-2</c:v>
                </c:pt>
                <c:pt idx="1883">
                  <c:v>-3.6126884050000002E-2</c:v>
                </c:pt>
                <c:pt idx="1884">
                  <c:v>-3.9342964416999998E-2</c:v>
                </c:pt>
                <c:pt idx="1885">
                  <c:v>-3.6126884050000002E-2</c:v>
                </c:pt>
                <c:pt idx="1886">
                  <c:v>-3.9342964416999998E-2</c:v>
                </c:pt>
                <c:pt idx="1887">
                  <c:v>-3.6930904142000003E-2</c:v>
                </c:pt>
                <c:pt idx="1888">
                  <c:v>-3.8538944324999998E-2</c:v>
                </c:pt>
                <c:pt idx="1889">
                  <c:v>-3.8538944324999998E-2</c:v>
                </c:pt>
                <c:pt idx="1890">
                  <c:v>-3.5322863958000002E-2</c:v>
                </c:pt>
                <c:pt idx="1891">
                  <c:v>-3.7734924234000003E-2</c:v>
                </c:pt>
                <c:pt idx="1892">
                  <c:v>-3.6126884050000002E-2</c:v>
                </c:pt>
                <c:pt idx="1893">
                  <c:v>-3.6930904142000003E-2</c:v>
                </c:pt>
                <c:pt idx="1894">
                  <c:v>-3.6126884050000002E-2</c:v>
                </c:pt>
                <c:pt idx="1895">
                  <c:v>-3.5322863958000002E-2</c:v>
                </c:pt>
                <c:pt idx="1896">
                  <c:v>-3.7734924232999997E-2</c:v>
                </c:pt>
                <c:pt idx="1897">
                  <c:v>-3.7734924232999997E-2</c:v>
                </c:pt>
                <c:pt idx="1898">
                  <c:v>-3.3714823774000001E-2</c:v>
                </c:pt>
                <c:pt idx="1899">
                  <c:v>-3.4518843866000001E-2</c:v>
                </c:pt>
                <c:pt idx="1900">
                  <c:v>-3.4518843866000001E-2</c:v>
                </c:pt>
                <c:pt idx="1901">
                  <c:v>-3.6126884050000002E-2</c:v>
                </c:pt>
                <c:pt idx="1902">
                  <c:v>-3.5322863958000002E-2</c:v>
                </c:pt>
                <c:pt idx="1903">
                  <c:v>-3.6930904140999997E-2</c:v>
                </c:pt>
                <c:pt idx="1904">
                  <c:v>-3.6126884050000002E-2</c:v>
                </c:pt>
                <c:pt idx="1905">
                  <c:v>-3.3714823774000001E-2</c:v>
                </c:pt>
                <c:pt idx="1906">
                  <c:v>-3.2910803682000001E-2</c:v>
                </c:pt>
                <c:pt idx="1907">
                  <c:v>-3.4518843866000001E-2</c:v>
                </c:pt>
                <c:pt idx="1908">
                  <c:v>-3.4518843866000001E-2</c:v>
                </c:pt>
                <c:pt idx="1909">
                  <c:v>-3.5322863958000002E-2</c:v>
                </c:pt>
                <c:pt idx="1910">
                  <c:v>-3.4518843866000001E-2</c:v>
                </c:pt>
                <c:pt idx="1911">
                  <c:v>-3.4518843866000001E-2</c:v>
                </c:pt>
                <c:pt idx="1912">
                  <c:v>-3.6930904142000003E-2</c:v>
                </c:pt>
                <c:pt idx="1913">
                  <c:v>-3.4518843866000001E-2</c:v>
                </c:pt>
                <c:pt idx="1914">
                  <c:v>-3.6126884050000002E-2</c:v>
                </c:pt>
                <c:pt idx="1915">
                  <c:v>-3.4518843866000001E-2</c:v>
                </c:pt>
                <c:pt idx="1916">
                  <c:v>-3.4518843866000001E-2</c:v>
                </c:pt>
                <c:pt idx="1917">
                  <c:v>-3.3714823774000001E-2</c:v>
                </c:pt>
                <c:pt idx="1918">
                  <c:v>-3.5322863958000002E-2</c:v>
                </c:pt>
                <c:pt idx="1919">
                  <c:v>-3.5322863958000002E-2</c:v>
                </c:pt>
                <c:pt idx="1920">
                  <c:v>-3.7734924234000003E-2</c:v>
                </c:pt>
                <c:pt idx="1921">
                  <c:v>-3.4518843866000001E-2</c:v>
                </c:pt>
                <c:pt idx="1922">
                  <c:v>-3.3714823774000001E-2</c:v>
                </c:pt>
                <c:pt idx="1923">
                  <c:v>-3.4518843866000001E-2</c:v>
                </c:pt>
                <c:pt idx="1924">
                  <c:v>-3.7734924234000003E-2</c:v>
                </c:pt>
                <c:pt idx="1925">
                  <c:v>-3.6126884050000002E-2</c:v>
                </c:pt>
                <c:pt idx="1926">
                  <c:v>-3.2910803682000001E-2</c:v>
                </c:pt>
                <c:pt idx="1927">
                  <c:v>-3.6930904142000003E-2</c:v>
                </c:pt>
                <c:pt idx="1928">
                  <c:v>-3.6126884050000002E-2</c:v>
                </c:pt>
                <c:pt idx="1929">
                  <c:v>-3.5322863958000002E-2</c:v>
                </c:pt>
                <c:pt idx="1930">
                  <c:v>-3.5322863958000002E-2</c:v>
                </c:pt>
                <c:pt idx="1931">
                  <c:v>-3.6126884050000002E-2</c:v>
                </c:pt>
                <c:pt idx="1932">
                  <c:v>-3.7734924234000003E-2</c:v>
                </c:pt>
                <c:pt idx="1933">
                  <c:v>-3.6126884049000003E-2</c:v>
                </c:pt>
                <c:pt idx="1934">
                  <c:v>-3.7734924232999997E-2</c:v>
                </c:pt>
                <c:pt idx="1935">
                  <c:v>-3.6930904140999997E-2</c:v>
                </c:pt>
                <c:pt idx="1936">
                  <c:v>-3.3714823774000001E-2</c:v>
                </c:pt>
                <c:pt idx="1937">
                  <c:v>-3.5322863958000002E-2</c:v>
                </c:pt>
                <c:pt idx="1938">
                  <c:v>-3.6930904142000003E-2</c:v>
                </c:pt>
                <c:pt idx="1939">
                  <c:v>-3.2910803682000001E-2</c:v>
                </c:pt>
                <c:pt idx="1940">
                  <c:v>-3.3714823774000001E-2</c:v>
                </c:pt>
                <c:pt idx="1941">
                  <c:v>-3.4518843866000001E-2</c:v>
                </c:pt>
                <c:pt idx="1942">
                  <c:v>-3.4518843866000001E-2</c:v>
                </c:pt>
                <c:pt idx="1943">
                  <c:v>-3.5322863958000002E-2</c:v>
                </c:pt>
                <c:pt idx="1944">
                  <c:v>-3.210678359E-2</c:v>
                </c:pt>
                <c:pt idx="1945">
                  <c:v>-3.5322863958000002E-2</c:v>
                </c:pt>
                <c:pt idx="1946">
                  <c:v>-3.4518843866000001E-2</c:v>
                </c:pt>
                <c:pt idx="1947">
                  <c:v>-3.6930904142000003E-2</c:v>
                </c:pt>
                <c:pt idx="1948">
                  <c:v>-3.3714823774000001E-2</c:v>
                </c:pt>
                <c:pt idx="1949">
                  <c:v>-3.3714823774000001E-2</c:v>
                </c:pt>
                <c:pt idx="1950">
                  <c:v>-3.3714823774000001E-2</c:v>
                </c:pt>
                <c:pt idx="1951">
                  <c:v>-3.5322863958000002E-2</c:v>
                </c:pt>
                <c:pt idx="1952">
                  <c:v>-3.6930904142000003E-2</c:v>
                </c:pt>
                <c:pt idx="1953">
                  <c:v>-3.6126884050000002E-2</c:v>
                </c:pt>
                <c:pt idx="1954">
                  <c:v>-3.2910803682000001E-2</c:v>
                </c:pt>
                <c:pt idx="1955">
                  <c:v>-3.3714823774000001E-2</c:v>
                </c:pt>
                <c:pt idx="1956">
                  <c:v>-3.5322863958000002E-2</c:v>
                </c:pt>
                <c:pt idx="1957">
                  <c:v>-3.3714823774000001E-2</c:v>
                </c:pt>
                <c:pt idx="1958">
                  <c:v>-3.6930904140999997E-2</c:v>
                </c:pt>
                <c:pt idx="1959">
                  <c:v>-3.1302763498999998E-2</c:v>
                </c:pt>
                <c:pt idx="1960">
                  <c:v>-3.5322863958000002E-2</c:v>
                </c:pt>
                <c:pt idx="1961">
                  <c:v>-3.4518843866000001E-2</c:v>
                </c:pt>
                <c:pt idx="1962">
                  <c:v>-3.2910803682000001E-2</c:v>
                </c:pt>
                <c:pt idx="1963">
                  <c:v>-3.4518843866000001E-2</c:v>
                </c:pt>
                <c:pt idx="1964">
                  <c:v>-3.4518843866000001E-2</c:v>
                </c:pt>
                <c:pt idx="1965">
                  <c:v>-3.2910803682000001E-2</c:v>
                </c:pt>
                <c:pt idx="1966">
                  <c:v>-3.6126884050000002E-2</c:v>
                </c:pt>
                <c:pt idx="1967">
                  <c:v>-3.5322863958000002E-2</c:v>
                </c:pt>
                <c:pt idx="1968">
                  <c:v>-3.4518843866000001E-2</c:v>
                </c:pt>
                <c:pt idx="1969">
                  <c:v>-3.2910803682000001E-2</c:v>
                </c:pt>
                <c:pt idx="1970">
                  <c:v>-3.2910803682000001E-2</c:v>
                </c:pt>
                <c:pt idx="1971">
                  <c:v>-3.3714823774000001E-2</c:v>
                </c:pt>
                <c:pt idx="1972">
                  <c:v>-3.2106783590999999E-2</c:v>
                </c:pt>
                <c:pt idx="1973">
                  <c:v>-3.7734924234000003E-2</c:v>
                </c:pt>
                <c:pt idx="1974">
                  <c:v>-3.4518843866000001E-2</c:v>
                </c:pt>
                <c:pt idx="1975">
                  <c:v>-3.6126884050000002E-2</c:v>
                </c:pt>
                <c:pt idx="1976">
                  <c:v>-3.4518843866000001E-2</c:v>
                </c:pt>
                <c:pt idx="1977">
                  <c:v>-3.6126884050000002E-2</c:v>
                </c:pt>
                <c:pt idx="1978">
                  <c:v>-3.4518843866000001E-2</c:v>
                </c:pt>
                <c:pt idx="1979">
                  <c:v>-3.5322863958000002E-2</c:v>
                </c:pt>
                <c:pt idx="1980">
                  <c:v>-3.4518843866000001E-2</c:v>
                </c:pt>
                <c:pt idx="1981">
                  <c:v>-3.5322863958000002E-2</c:v>
                </c:pt>
                <c:pt idx="1982">
                  <c:v>-3.5322863958000002E-2</c:v>
                </c:pt>
                <c:pt idx="1983">
                  <c:v>-3.6126884050000002E-2</c:v>
                </c:pt>
                <c:pt idx="1984">
                  <c:v>-3.7734924232999997E-2</c:v>
                </c:pt>
                <c:pt idx="1985">
                  <c:v>-3.4518843866000001E-2</c:v>
                </c:pt>
                <c:pt idx="1986">
                  <c:v>-3.6930904142000003E-2</c:v>
                </c:pt>
                <c:pt idx="1987">
                  <c:v>-3.6126884050000002E-2</c:v>
                </c:pt>
                <c:pt idx="1988">
                  <c:v>-3.6126884050000002E-2</c:v>
                </c:pt>
                <c:pt idx="1989">
                  <c:v>-3.3714823774000001E-2</c:v>
                </c:pt>
                <c:pt idx="1990">
                  <c:v>-3.8538944324999998E-2</c:v>
                </c:pt>
                <c:pt idx="1991">
                  <c:v>-3.7734924234000003E-2</c:v>
                </c:pt>
                <c:pt idx="1992">
                  <c:v>-3.6126884050000002E-2</c:v>
                </c:pt>
                <c:pt idx="1993">
                  <c:v>-3.5322863958000002E-2</c:v>
                </c:pt>
                <c:pt idx="1994">
                  <c:v>-3.3714823774000001E-2</c:v>
                </c:pt>
                <c:pt idx="1995">
                  <c:v>-3.6126884050000002E-2</c:v>
                </c:pt>
                <c:pt idx="1996">
                  <c:v>-3.7734924234000003E-2</c:v>
                </c:pt>
                <c:pt idx="1997">
                  <c:v>-3.6126884050000002E-2</c:v>
                </c:pt>
                <c:pt idx="1998">
                  <c:v>-3.5322863958000002E-2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34-41F9-95F0-1B4BB72FE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377776"/>
        <c:axId val="1027365776"/>
      </c:scatterChart>
      <c:valAx>
        <c:axId val="1027377776"/>
        <c:scaling>
          <c:orientation val="minMax"/>
          <c:max val="2.3700000000000006E-6"/>
          <c:min val="-7.4300000000000034E-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E+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365776"/>
        <c:crosses val="autoZero"/>
        <c:crossBetween val="midCat"/>
      </c:valAx>
      <c:valAx>
        <c:axId val="102736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Amplitude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377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Bode Plot</a:t>
            </a:r>
            <a:r>
              <a:rPr lang="en-US" baseline="0"/>
              <a:t> </a:t>
            </a:r>
          </a:p>
          <a:p>
            <a:pPr>
              <a:defRPr/>
            </a:pPr>
            <a:r>
              <a:rPr lang="en-US" baseline="0"/>
              <a:t>A = -3.37 db, F =</a:t>
            </a:r>
            <a:r>
              <a:rPr lang="en-US"/>
              <a:t> 1Mhz</a:t>
            </a:r>
            <a:br>
              <a:rPr lang="en-US"/>
            </a:br>
            <a:r>
              <a:rPr lang="en-US"/>
              <a:t>A</a:t>
            </a:r>
            <a:r>
              <a:rPr lang="en-US" baseline="0"/>
              <a:t> = -6.09 db, Fc = 4.1 Mhz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'Bode Plot Submission'!$D$1</c:f>
              <c:strCache>
                <c:ptCount val="1"/>
                <c:pt idx="0">
                  <c:v> Gain (dB)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'Bode Plot Submission'!$B$2:$B$62</c:f>
              <c:numCache>
                <c:formatCode>General</c:formatCode>
                <c:ptCount val="61"/>
                <c:pt idx="0">
                  <c:v>200000</c:v>
                </c:pt>
                <c:pt idx="1">
                  <c:v>214922.1</c:v>
                </c:pt>
                <c:pt idx="2">
                  <c:v>230957.5</c:v>
                </c:pt>
                <c:pt idx="3">
                  <c:v>248189.3</c:v>
                </c:pt>
                <c:pt idx="4">
                  <c:v>266706.8</c:v>
                </c:pt>
                <c:pt idx="5">
                  <c:v>286605.90000000002</c:v>
                </c:pt>
                <c:pt idx="6">
                  <c:v>307989.59999999998</c:v>
                </c:pt>
                <c:pt idx="7">
                  <c:v>330968.90000000002</c:v>
                </c:pt>
                <c:pt idx="8">
                  <c:v>355662.6</c:v>
                </c:pt>
                <c:pt idx="9">
                  <c:v>382198.7</c:v>
                </c:pt>
                <c:pt idx="10">
                  <c:v>410714.7</c:v>
                </c:pt>
                <c:pt idx="11">
                  <c:v>441358.2</c:v>
                </c:pt>
                <c:pt idx="12">
                  <c:v>474288.1</c:v>
                </c:pt>
                <c:pt idx="13">
                  <c:v>509674.9</c:v>
                </c:pt>
                <c:pt idx="14">
                  <c:v>547702</c:v>
                </c:pt>
                <c:pt idx="15">
                  <c:v>588566.19999999995</c:v>
                </c:pt>
                <c:pt idx="16">
                  <c:v>632479.30000000005</c:v>
                </c:pt>
                <c:pt idx="17">
                  <c:v>679668.8</c:v>
                </c:pt>
                <c:pt idx="18">
                  <c:v>730379.2</c:v>
                </c:pt>
                <c:pt idx="19">
                  <c:v>784873</c:v>
                </c:pt>
                <c:pt idx="20">
                  <c:v>843432.7</c:v>
                </c:pt>
                <c:pt idx="21">
                  <c:v>906361.5</c:v>
                </c:pt>
                <c:pt idx="22">
                  <c:v>973985.4</c:v>
                </c:pt>
                <c:pt idx="23">
                  <c:v>1046654.8</c:v>
                </c:pt>
                <c:pt idx="24">
                  <c:v>1124746.1000000001</c:v>
                </c:pt>
                <c:pt idx="25">
                  <c:v>1208663.8</c:v>
                </c:pt>
                <c:pt idx="26">
                  <c:v>1298842.7</c:v>
                </c:pt>
                <c:pt idx="27">
                  <c:v>1395749.8</c:v>
                </c:pt>
                <c:pt idx="28">
                  <c:v>1499887.2</c:v>
                </c:pt>
                <c:pt idx="29">
                  <c:v>1611794.3</c:v>
                </c:pt>
                <c:pt idx="30">
                  <c:v>1732050.8</c:v>
                </c:pt>
                <c:pt idx="31">
                  <c:v>1861279.7</c:v>
                </c:pt>
                <c:pt idx="32">
                  <c:v>2000150.5</c:v>
                </c:pt>
                <c:pt idx="33">
                  <c:v>2149382.4</c:v>
                </c:pt>
                <c:pt idx="34">
                  <c:v>2309748.6</c:v>
                </c:pt>
                <c:pt idx="35">
                  <c:v>2482079.7999999998</c:v>
                </c:pt>
                <c:pt idx="36">
                  <c:v>2667268.6</c:v>
                </c:pt>
                <c:pt idx="37">
                  <c:v>2866274.5</c:v>
                </c:pt>
                <c:pt idx="38">
                  <c:v>3080128.2</c:v>
                </c:pt>
                <c:pt idx="39">
                  <c:v>3309937.7</c:v>
                </c:pt>
                <c:pt idx="40">
                  <c:v>3556893.3</c:v>
                </c:pt>
                <c:pt idx="41">
                  <c:v>3822274.4</c:v>
                </c:pt>
                <c:pt idx="42">
                  <c:v>4107455.6</c:v>
                </c:pt>
                <c:pt idx="43">
                  <c:v>4413914.3</c:v>
                </c:pt>
                <c:pt idx="44">
                  <c:v>4743238.0999999996</c:v>
                </c:pt>
                <c:pt idx="45">
                  <c:v>5097132.7</c:v>
                </c:pt>
                <c:pt idx="46">
                  <c:v>5477431.5999999996</c:v>
                </c:pt>
                <c:pt idx="47">
                  <c:v>5886104.7000000002</c:v>
                </c:pt>
                <c:pt idx="48">
                  <c:v>6325269.0999999996</c:v>
                </c:pt>
                <c:pt idx="49">
                  <c:v>6797199.7000000002</c:v>
                </c:pt>
                <c:pt idx="50">
                  <c:v>7304341.0999999996</c:v>
                </c:pt>
                <c:pt idx="51">
                  <c:v>7849320.5999999996</c:v>
                </c:pt>
                <c:pt idx="52">
                  <c:v>8434961.1999999993</c:v>
                </c:pt>
                <c:pt idx="53">
                  <c:v>9064296.6999999993</c:v>
                </c:pt>
                <c:pt idx="54">
                  <c:v>9740587.0999999996</c:v>
                </c:pt>
                <c:pt idx="55">
                  <c:v>10467335.699999999</c:v>
                </c:pt>
                <c:pt idx="56">
                  <c:v>11248307.4</c:v>
                </c:pt>
                <c:pt idx="57">
                  <c:v>12087547.6</c:v>
                </c:pt>
                <c:pt idx="58">
                  <c:v>12989403.800000001</c:v>
                </c:pt>
                <c:pt idx="59">
                  <c:v>13958547.800000001</c:v>
                </c:pt>
                <c:pt idx="60">
                  <c:v>15000000</c:v>
                </c:pt>
              </c:numCache>
            </c:numRef>
          </c:xVal>
          <c:yVal>
            <c:numRef>
              <c:f>'Bode Plot Submission'!$D$2:$D$62</c:f>
              <c:numCache>
                <c:formatCode>General</c:formatCode>
                <c:ptCount val="61"/>
                <c:pt idx="0">
                  <c:v>-0.39</c:v>
                </c:pt>
                <c:pt idx="1">
                  <c:v>-0.43</c:v>
                </c:pt>
                <c:pt idx="2">
                  <c:v>-0.46</c:v>
                </c:pt>
                <c:pt idx="3">
                  <c:v>-0.54</c:v>
                </c:pt>
                <c:pt idx="4">
                  <c:v>-0.6</c:v>
                </c:pt>
                <c:pt idx="5">
                  <c:v>-0.67</c:v>
                </c:pt>
                <c:pt idx="6">
                  <c:v>-0.74</c:v>
                </c:pt>
                <c:pt idx="7">
                  <c:v>-0.83</c:v>
                </c:pt>
                <c:pt idx="8">
                  <c:v>-0.95</c:v>
                </c:pt>
                <c:pt idx="9">
                  <c:v>-1.03</c:v>
                </c:pt>
                <c:pt idx="10">
                  <c:v>-1.1499999999999999</c:v>
                </c:pt>
                <c:pt idx="11">
                  <c:v>-1.28</c:v>
                </c:pt>
                <c:pt idx="12">
                  <c:v>-1.43</c:v>
                </c:pt>
                <c:pt idx="13">
                  <c:v>-1.51</c:v>
                </c:pt>
                <c:pt idx="14">
                  <c:v>-1.69</c:v>
                </c:pt>
                <c:pt idx="15">
                  <c:v>-1.89</c:v>
                </c:pt>
                <c:pt idx="16">
                  <c:v>-2.0499999999999998</c:v>
                </c:pt>
                <c:pt idx="17">
                  <c:v>-2.2000000000000002</c:v>
                </c:pt>
                <c:pt idx="18">
                  <c:v>-2.48</c:v>
                </c:pt>
                <c:pt idx="19">
                  <c:v>-2.62</c:v>
                </c:pt>
                <c:pt idx="20">
                  <c:v>-2.83</c:v>
                </c:pt>
                <c:pt idx="21">
                  <c:v>-3.06</c:v>
                </c:pt>
                <c:pt idx="22">
                  <c:v>-3.25</c:v>
                </c:pt>
                <c:pt idx="23">
                  <c:v>-3.37</c:v>
                </c:pt>
                <c:pt idx="24">
                  <c:v>-3.53</c:v>
                </c:pt>
                <c:pt idx="25">
                  <c:v>-3.71</c:v>
                </c:pt>
                <c:pt idx="26">
                  <c:v>-3.88</c:v>
                </c:pt>
                <c:pt idx="27">
                  <c:v>-4.0599999999999996</c:v>
                </c:pt>
                <c:pt idx="28">
                  <c:v>-4.12</c:v>
                </c:pt>
                <c:pt idx="29">
                  <c:v>-4.37</c:v>
                </c:pt>
                <c:pt idx="30">
                  <c:v>-4.32</c:v>
                </c:pt>
                <c:pt idx="31">
                  <c:v>-4.3600000000000003</c:v>
                </c:pt>
                <c:pt idx="32">
                  <c:v>-4.5</c:v>
                </c:pt>
                <c:pt idx="33">
                  <c:v>-4.59</c:v>
                </c:pt>
                <c:pt idx="34">
                  <c:v>-4.76</c:v>
                </c:pt>
                <c:pt idx="35">
                  <c:v>-4.79</c:v>
                </c:pt>
                <c:pt idx="36">
                  <c:v>-5.25</c:v>
                </c:pt>
                <c:pt idx="37">
                  <c:v>-5.31</c:v>
                </c:pt>
                <c:pt idx="38">
                  <c:v>-5.21</c:v>
                </c:pt>
                <c:pt idx="39">
                  <c:v>-5.14</c:v>
                </c:pt>
                <c:pt idx="40">
                  <c:v>-5.17</c:v>
                </c:pt>
                <c:pt idx="41">
                  <c:v>-5.71</c:v>
                </c:pt>
                <c:pt idx="42">
                  <c:v>-6.09</c:v>
                </c:pt>
                <c:pt idx="43">
                  <c:v>-7.27</c:v>
                </c:pt>
                <c:pt idx="44">
                  <c:v>-8.23</c:v>
                </c:pt>
                <c:pt idx="45">
                  <c:v>-9.31</c:v>
                </c:pt>
                <c:pt idx="46">
                  <c:v>-11.49</c:v>
                </c:pt>
                <c:pt idx="47">
                  <c:v>-14.05</c:v>
                </c:pt>
                <c:pt idx="48">
                  <c:v>-18.62</c:v>
                </c:pt>
                <c:pt idx="49">
                  <c:v>-21.95</c:v>
                </c:pt>
                <c:pt idx="50">
                  <c:v>-27.82</c:v>
                </c:pt>
                <c:pt idx="51">
                  <c:v>-34.54</c:v>
                </c:pt>
                <c:pt idx="52">
                  <c:v>-44.83</c:v>
                </c:pt>
                <c:pt idx="53">
                  <c:v>-46.02</c:v>
                </c:pt>
                <c:pt idx="54">
                  <c:v>-49.04</c:v>
                </c:pt>
                <c:pt idx="55">
                  <c:v>-45.67</c:v>
                </c:pt>
                <c:pt idx="56">
                  <c:v>-50.09</c:v>
                </c:pt>
                <c:pt idx="57">
                  <c:v>-55.06</c:v>
                </c:pt>
                <c:pt idx="58">
                  <c:v>-46.61</c:v>
                </c:pt>
                <c:pt idx="59">
                  <c:v>-67.52</c:v>
                </c:pt>
                <c:pt idx="60">
                  <c:v>-52.27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A7-4770-A4F1-8EE1DBE16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897311"/>
        <c:axId val="1073915071"/>
      </c:scatterChart>
      <c:valAx>
        <c:axId val="1073897311"/>
        <c:scaling>
          <c:orientation val="minMax"/>
          <c:max val="1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  <a:r>
                  <a:rPr lang="en-US" baseline="0"/>
                  <a:t> </a:t>
                </a:r>
                <a:r>
                  <a:rPr lang="en-US"/>
                  <a:t>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915071"/>
        <c:crosses val="autoZero"/>
        <c:crossBetween val="midCat"/>
      </c:valAx>
      <c:valAx>
        <c:axId val="107391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897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Noise Floor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Noise Floor Histogram</a:t>
          </a:r>
        </a:p>
      </cx:txPr>
    </cx:title>
    <cx:plotArea>
      <cx:plotAreaRegion>
        <cx:series layoutId="clusteredColumn" uniqueId="{2B290488-C989-44EC-B4BC-60164DED50F2}"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tle>
          <cx:tx>
            <cx:txData>
              <cx:v>Noise Amplitude (mV)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Noise Amplitude (mV)</a:t>
              </a:r>
            </a:p>
          </cx:txPr>
        </cx:title>
        <cx:tickLabels/>
        <cx:numFmt formatCode="#,##0.00" sourceLinked="0"/>
      </cx:axis>
      <cx:axis id="1">
        <cx:valScaling/>
        <cx:title>
          <cx:tx>
            <cx:txData>
              <cx:v>Occurrences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Occurrences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323903</xdr:colOff>
      <xdr:row>50</xdr:row>
      <xdr:rowOff>64368</xdr:rowOff>
    </xdr:from>
    <xdr:to>
      <xdr:col>5</xdr:col>
      <xdr:colOff>532927</xdr:colOff>
      <xdr:row>65</xdr:row>
      <xdr:rowOff>66176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BE07DB-6740-7BC8-8BEA-EBEB581EB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623798</xdr:colOff>
      <xdr:row>43</xdr:row>
      <xdr:rowOff>23190</xdr:rowOff>
    </xdr:from>
    <xdr:to>
      <xdr:col>22</xdr:col>
      <xdr:colOff>63420</xdr:colOff>
      <xdr:row>57</xdr:row>
      <xdr:rowOff>168964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D52BA23-7856-5400-FB4E-40D029431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418353</xdr:colOff>
      <xdr:row>113</xdr:row>
      <xdr:rowOff>0</xdr:rowOff>
    </xdr:from>
    <xdr:to>
      <xdr:col>4</xdr:col>
      <xdr:colOff>304065</xdr:colOff>
      <xdr:row>127</xdr:row>
      <xdr:rowOff>149121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54EF65F-4B15-4855-AD17-10A2B2ADE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319087</xdr:colOff>
      <xdr:row>1975</xdr:row>
      <xdr:rowOff>147637</xdr:rowOff>
    </xdr:from>
    <xdr:to>
      <xdr:col>16</xdr:col>
      <xdr:colOff>14287</xdr:colOff>
      <xdr:row>1990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BCE9FF-933F-696A-0EBC-FCDBF9F88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57150</xdr:colOff>
      <xdr:row>2</xdr:row>
      <xdr:rowOff>6667</xdr:rowOff>
    </xdr:from>
    <xdr:to>
      <xdr:col>11</xdr:col>
      <xdr:colOff>361950</xdr:colOff>
      <xdr:row>17</xdr:row>
      <xdr:rowOff>29527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25EF419-2BDD-62CF-212A-CFE2CD9CAF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4600" y="368617"/>
              <a:ext cx="4572000" cy="27374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352425</xdr:colOff>
      <xdr:row>11</xdr:row>
      <xdr:rowOff>147637</xdr:rowOff>
    </xdr:from>
    <xdr:to>
      <xdr:col>16</xdr:col>
      <xdr:colOff>47625</xdr:colOff>
      <xdr:row>26</xdr:row>
      <xdr:rowOff>176212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D22ECF-A7CA-20B1-97C1-94953B4ED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6</xdr:row>
      <xdr:rowOff>41910</xdr:rowOff>
    </xdr:from>
    <xdr:to>
      <xdr:col>13</xdr:col>
      <xdr:colOff>91440</xdr:colOff>
      <xdr:row>21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FF9081-076B-4BF2-47B3-4F9CBC0C8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tente\Desktop\UNI_2023_2024\Term%202\Analogue%20Labs%203\report\Take%202%20-%20figures\scope_6.csv" TargetMode="External"/><Relationship Id="rId1" Type="http://schemas.openxmlformats.org/officeDocument/2006/relationships/externalLinkPath" Target="/Users/Utente/Desktop/UNI_2023_2024/Term%202/Analogue%20Labs%203/report/Take%202%20-%20figures/scope_6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ope_6"/>
    </sheetNames>
    <sheetDataSet>
      <sheetData sheetId="0">
        <row r="1">
          <cell r="B1">
            <v>1</v>
          </cell>
        </row>
        <row r="2">
          <cell r="B2" t="str">
            <v>Volt</v>
          </cell>
        </row>
        <row r="3">
          <cell r="A3">
            <v>-7.6199999999999999E-6</v>
          </cell>
          <cell r="B3">
            <v>-3.5322863958000002E-2</v>
          </cell>
        </row>
        <row r="4">
          <cell r="A4">
            <v>-7.6149999999999999E-6</v>
          </cell>
          <cell r="B4">
            <v>-3.2910803682000001E-2</v>
          </cell>
        </row>
        <row r="5">
          <cell r="A5">
            <v>-7.61E-6</v>
          </cell>
          <cell r="B5">
            <v>-3.7734924234000003E-2</v>
          </cell>
        </row>
        <row r="6">
          <cell r="A6">
            <v>-7.605E-6</v>
          </cell>
          <cell r="B6">
            <v>-3.6126884050000002E-2</v>
          </cell>
        </row>
        <row r="7">
          <cell r="A7">
            <v>-7.6000000000000001E-6</v>
          </cell>
          <cell r="B7">
            <v>-3.6930904142000003E-2</v>
          </cell>
        </row>
        <row r="8">
          <cell r="A8">
            <v>-7.5950000000000001E-6</v>
          </cell>
          <cell r="B8">
            <v>-3.6126884050000002E-2</v>
          </cell>
        </row>
        <row r="9">
          <cell r="A9">
            <v>-7.5900000000000002E-6</v>
          </cell>
          <cell r="B9">
            <v>-3.7734924234000003E-2</v>
          </cell>
        </row>
        <row r="10">
          <cell r="A10">
            <v>-7.5850000000000002E-6</v>
          </cell>
          <cell r="B10">
            <v>-3.6930904142000003E-2</v>
          </cell>
        </row>
        <row r="11">
          <cell r="A11">
            <v>-7.5800000000000003E-6</v>
          </cell>
          <cell r="B11">
            <v>-3.1302763498E-2</v>
          </cell>
        </row>
        <row r="12">
          <cell r="A12">
            <v>-7.5750000000000003E-6</v>
          </cell>
          <cell r="B12">
            <v>-3.5322863958000002E-2</v>
          </cell>
        </row>
        <row r="13">
          <cell r="A13">
            <v>-7.5700000000000004E-6</v>
          </cell>
          <cell r="B13">
            <v>-3.5322863958000002E-2</v>
          </cell>
        </row>
        <row r="14">
          <cell r="A14">
            <v>-7.5650000000000004E-6</v>
          </cell>
          <cell r="B14">
            <v>-3.6126884050000002E-2</v>
          </cell>
        </row>
        <row r="15">
          <cell r="A15">
            <v>-7.5599999999999996E-6</v>
          </cell>
          <cell r="B15">
            <v>-3.6930904142000003E-2</v>
          </cell>
        </row>
        <row r="16">
          <cell r="A16">
            <v>-7.5549999999999997E-6</v>
          </cell>
          <cell r="B16">
            <v>-3.210678359E-2</v>
          </cell>
        </row>
        <row r="17">
          <cell r="A17">
            <v>-7.5499999999999997E-6</v>
          </cell>
          <cell r="B17">
            <v>-3.6126884050000002E-2</v>
          </cell>
        </row>
        <row r="18">
          <cell r="A18">
            <v>-7.5449999999999998E-6</v>
          </cell>
          <cell r="B18">
            <v>-3.2910803682000001E-2</v>
          </cell>
        </row>
        <row r="19">
          <cell r="A19">
            <v>-7.5399999999999998E-6</v>
          </cell>
          <cell r="B19">
            <v>-3.6126884050000002E-2</v>
          </cell>
        </row>
        <row r="20">
          <cell r="A20">
            <v>-7.5349999999999999E-6</v>
          </cell>
          <cell r="B20">
            <v>-3.4518843866000001E-2</v>
          </cell>
        </row>
        <row r="21">
          <cell r="A21">
            <v>-7.5299999999999999E-6</v>
          </cell>
          <cell r="B21">
            <v>-3.2910803682000001E-2</v>
          </cell>
        </row>
        <row r="22">
          <cell r="A22">
            <v>-7.525E-6</v>
          </cell>
          <cell r="B22">
            <v>-3.6126884050000002E-2</v>
          </cell>
        </row>
        <row r="23">
          <cell r="A23">
            <v>-7.52E-6</v>
          </cell>
          <cell r="B23">
            <v>-3.210678359E-2</v>
          </cell>
        </row>
        <row r="24">
          <cell r="A24">
            <v>-7.515E-6</v>
          </cell>
          <cell r="B24">
            <v>-3.3714823774000001E-2</v>
          </cell>
        </row>
        <row r="25">
          <cell r="A25">
            <v>-7.5100000000000001E-6</v>
          </cell>
          <cell r="B25">
            <v>-3.4518843866000001E-2</v>
          </cell>
        </row>
        <row r="26">
          <cell r="A26">
            <v>-7.5050000000000001E-6</v>
          </cell>
          <cell r="B26">
            <v>-3.4518843866000001E-2</v>
          </cell>
        </row>
        <row r="27">
          <cell r="A27">
            <v>-7.5000000000000002E-6</v>
          </cell>
          <cell r="B27">
            <v>-3.6126884050000002E-2</v>
          </cell>
        </row>
        <row r="28">
          <cell r="A28">
            <v>-7.4950000000000002E-6</v>
          </cell>
          <cell r="B28">
            <v>-3.5322863958000002E-2</v>
          </cell>
        </row>
        <row r="29">
          <cell r="A29">
            <v>-7.4900000000000003E-6</v>
          </cell>
          <cell r="B29">
            <v>-3.210678359E-2</v>
          </cell>
        </row>
        <row r="30">
          <cell r="A30">
            <v>-7.4850000000000003E-6</v>
          </cell>
          <cell r="B30">
            <v>-3.6126884050000002E-2</v>
          </cell>
        </row>
        <row r="31">
          <cell r="A31">
            <v>-7.4800000000000004E-6</v>
          </cell>
          <cell r="B31">
            <v>-3.210678359E-2</v>
          </cell>
        </row>
        <row r="32">
          <cell r="A32">
            <v>-7.4749999999999996E-6</v>
          </cell>
          <cell r="B32">
            <v>-3.2910803682000001E-2</v>
          </cell>
        </row>
        <row r="33">
          <cell r="A33">
            <v>-7.4699999999999996E-6</v>
          </cell>
          <cell r="B33">
            <v>-3.6930904142000003E-2</v>
          </cell>
        </row>
        <row r="34">
          <cell r="A34">
            <v>-7.4649999999999997E-6</v>
          </cell>
          <cell r="B34">
            <v>-3.6930904142000003E-2</v>
          </cell>
        </row>
        <row r="35">
          <cell r="A35">
            <v>-7.4599999999999997E-6</v>
          </cell>
          <cell r="B35">
            <v>-3.4518843866000001E-2</v>
          </cell>
        </row>
        <row r="36">
          <cell r="A36">
            <v>-7.4549999999999998E-6</v>
          </cell>
          <cell r="B36">
            <v>-3.4518843866000001E-2</v>
          </cell>
        </row>
        <row r="37">
          <cell r="A37">
            <v>-7.4499999999999998E-6</v>
          </cell>
          <cell r="B37">
            <v>-3.5322863958000002E-2</v>
          </cell>
        </row>
        <row r="38">
          <cell r="A38">
            <v>-7.4449999999999999E-6</v>
          </cell>
          <cell r="B38">
            <v>-3.3714823774000001E-2</v>
          </cell>
        </row>
        <row r="39">
          <cell r="A39">
            <v>-7.4399999999999999E-6</v>
          </cell>
          <cell r="B39">
            <v>-3.3714823774000001E-2</v>
          </cell>
        </row>
        <row r="40">
          <cell r="A40">
            <v>-7.435E-6</v>
          </cell>
          <cell r="B40">
            <v>-3.6126884050000002E-2</v>
          </cell>
        </row>
        <row r="41">
          <cell r="A41">
            <v>-7.43E-6</v>
          </cell>
          <cell r="B41">
            <v>-3.6126884050000002E-2</v>
          </cell>
        </row>
        <row r="42">
          <cell r="A42">
            <v>-7.4250000000000001E-6</v>
          </cell>
          <cell r="B42">
            <v>-3.6930904142000003E-2</v>
          </cell>
        </row>
        <row r="43">
          <cell r="A43">
            <v>-7.4200000000000001E-6</v>
          </cell>
          <cell r="B43">
            <v>-3.3714823774000001E-2</v>
          </cell>
        </row>
        <row r="44">
          <cell r="A44">
            <v>-7.4150000000000002E-6</v>
          </cell>
          <cell r="B44">
            <v>-3.4518843866000001E-2</v>
          </cell>
        </row>
        <row r="45">
          <cell r="A45">
            <v>-7.4100000000000002E-6</v>
          </cell>
          <cell r="B45">
            <v>-3.6930904142000003E-2</v>
          </cell>
        </row>
        <row r="46">
          <cell r="A46">
            <v>-7.4050000000000003E-6</v>
          </cell>
          <cell r="B46">
            <v>-3.4518843866000001E-2</v>
          </cell>
        </row>
        <row r="47">
          <cell r="A47">
            <v>-7.4000000000000003E-6</v>
          </cell>
          <cell r="B47">
            <v>-3.6126884050000002E-2</v>
          </cell>
        </row>
        <row r="48">
          <cell r="A48">
            <v>-7.3950000000000003E-6</v>
          </cell>
          <cell r="B48">
            <v>-3.5322863958000002E-2</v>
          </cell>
        </row>
        <row r="49">
          <cell r="A49">
            <v>-7.3900000000000004E-6</v>
          </cell>
          <cell r="B49">
            <v>-3.4518843866000001E-2</v>
          </cell>
        </row>
        <row r="50">
          <cell r="A50">
            <v>-7.3849999999999996E-6</v>
          </cell>
          <cell r="B50">
            <v>-3.5322863958000002E-2</v>
          </cell>
        </row>
        <row r="51">
          <cell r="A51">
            <v>-7.3799999999999996E-6</v>
          </cell>
          <cell r="B51">
            <v>-3.6126884050000002E-2</v>
          </cell>
        </row>
        <row r="52">
          <cell r="A52">
            <v>-7.3749999999999997E-6</v>
          </cell>
          <cell r="B52">
            <v>-3.2910803682000001E-2</v>
          </cell>
        </row>
        <row r="53">
          <cell r="A53">
            <v>-7.3699999999999997E-6</v>
          </cell>
          <cell r="B53">
            <v>-3.9342964416999998E-2</v>
          </cell>
        </row>
        <row r="54">
          <cell r="A54">
            <v>-7.3649999999999998E-6</v>
          </cell>
          <cell r="B54">
            <v>-3.5322863958000002E-2</v>
          </cell>
        </row>
        <row r="55">
          <cell r="A55">
            <v>-7.3599999999999998E-6</v>
          </cell>
          <cell r="B55">
            <v>-3.7734924234000003E-2</v>
          </cell>
        </row>
        <row r="56">
          <cell r="A56">
            <v>-7.3549999999999999E-6</v>
          </cell>
          <cell r="B56">
            <v>-3.6126884050000002E-2</v>
          </cell>
        </row>
        <row r="57">
          <cell r="A57">
            <v>-7.3499999999999999E-6</v>
          </cell>
          <cell r="B57">
            <v>-3.6930904142000003E-2</v>
          </cell>
        </row>
        <row r="58">
          <cell r="A58">
            <v>-7.345E-6</v>
          </cell>
          <cell r="B58">
            <v>-3.6126884050000002E-2</v>
          </cell>
        </row>
        <row r="59">
          <cell r="A59">
            <v>-7.34E-6</v>
          </cell>
          <cell r="B59">
            <v>-3.2910803682000001E-2</v>
          </cell>
        </row>
        <row r="60">
          <cell r="A60">
            <v>-7.3350000000000001E-6</v>
          </cell>
          <cell r="B60">
            <v>-3.3714823774000001E-2</v>
          </cell>
        </row>
        <row r="61">
          <cell r="A61">
            <v>-7.3300000000000001E-6</v>
          </cell>
          <cell r="B61">
            <v>-3.3714823774000001E-2</v>
          </cell>
        </row>
        <row r="62">
          <cell r="A62">
            <v>-7.3250000000000002E-6</v>
          </cell>
          <cell r="B62">
            <v>-3.6930904142000003E-2</v>
          </cell>
        </row>
        <row r="63">
          <cell r="A63">
            <v>-7.3200000000000002E-6</v>
          </cell>
          <cell r="B63">
            <v>-3.6126884050000002E-2</v>
          </cell>
        </row>
        <row r="64">
          <cell r="A64">
            <v>-7.3150000000000003E-6</v>
          </cell>
          <cell r="B64">
            <v>-3.5322863958000002E-2</v>
          </cell>
        </row>
        <row r="65">
          <cell r="A65">
            <v>-7.3100000000000003E-6</v>
          </cell>
          <cell r="B65">
            <v>-3.5322863958000002E-2</v>
          </cell>
        </row>
        <row r="66">
          <cell r="A66">
            <v>-7.3050000000000004E-6</v>
          </cell>
          <cell r="B66">
            <v>-3.2910803682000001E-2</v>
          </cell>
        </row>
        <row r="67">
          <cell r="A67">
            <v>-7.3000000000000004E-6</v>
          </cell>
          <cell r="B67">
            <v>-3.6126884050000002E-2</v>
          </cell>
        </row>
        <row r="68">
          <cell r="A68">
            <v>-7.2949999999999996E-6</v>
          </cell>
          <cell r="B68">
            <v>-3.6930904142000003E-2</v>
          </cell>
        </row>
        <row r="69">
          <cell r="A69">
            <v>-7.2899999999999997E-6</v>
          </cell>
          <cell r="B69">
            <v>-3.7734924234000003E-2</v>
          </cell>
        </row>
        <row r="70">
          <cell r="A70">
            <v>-7.2849999999999997E-6</v>
          </cell>
          <cell r="B70">
            <v>-3.6126884050000002E-2</v>
          </cell>
        </row>
        <row r="71">
          <cell r="A71">
            <v>-7.2799999999999998E-6</v>
          </cell>
          <cell r="B71">
            <v>-3.8538944324999998E-2</v>
          </cell>
        </row>
        <row r="72">
          <cell r="A72">
            <v>-7.2749999999999998E-6</v>
          </cell>
          <cell r="B72">
            <v>-3.6126884050000002E-2</v>
          </cell>
        </row>
        <row r="73">
          <cell r="A73">
            <v>-7.2699999999999999E-6</v>
          </cell>
          <cell r="B73">
            <v>-3.8538944324999998E-2</v>
          </cell>
        </row>
        <row r="74">
          <cell r="A74">
            <v>-7.2649999999999999E-6</v>
          </cell>
          <cell r="B74">
            <v>-3.5322863958000002E-2</v>
          </cell>
        </row>
        <row r="75">
          <cell r="A75">
            <v>-7.2599999999999999E-6</v>
          </cell>
          <cell r="B75">
            <v>-3.5322863958000002E-2</v>
          </cell>
        </row>
        <row r="76">
          <cell r="A76">
            <v>-7.255E-6</v>
          </cell>
          <cell r="B76">
            <v>-3.5322863958000002E-2</v>
          </cell>
        </row>
        <row r="77">
          <cell r="A77">
            <v>-7.25E-6</v>
          </cell>
          <cell r="B77">
            <v>-3.6126884050000002E-2</v>
          </cell>
        </row>
        <row r="78">
          <cell r="A78">
            <v>-7.2450000000000001E-6</v>
          </cell>
          <cell r="B78">
            <v>-3.3714823774000001E-2</v>
          </cell>
        </row>
        <row r="79">
          <cell r="A79">
            <v>-7.2400000000000001E-6</v>
          </cell>
          <cell r="B79">
            <v>-3.8538944324999998E-2</v>
          </cell>
        </row>
        <row r="80">
          <cell r="A80">
            <v>-7.2350000000000002E-6</v>
          </cell>
          <cell r="B80">
            <v>-3.5322863958000002E-2</v>
          </cell>
        </row>
        <row r="81">
          <cell r="A81">
            <v>-7.2300000000000002E-6</v>
          </cell>
          <cell r="B81">
            <v>-3.7734924234000003E-2</v>
          </cell>
        </row>
        <row r="82">
          <cell r="A82">
            <v>-7.2250000000000003E-6</v>
          </cell>
          <cell r="B82">
            <v>-3.6126884050000002E-2</v>
          </cell>
        </row>
        <row r="83">
          <cell r="A83">
            <v>-7.2200000000000003E-6</v>
          </cell>
          <cell r="B83">
            <v>-3.3714823774000001E-2</v>
          </cell>
        </row>
        <row r="84">
          <cell r="A84">
            <v>-7.2150000000000004E-6</v>
          </cell>
          <cell r="B84">
            <v>-3.5322863958000002E-2</v>
          </cell>
        </row>
        <row r="85">
          <cell r="A85">
            <v>-7.2099999999999996E-6</v>
          </cell>
          <cell r="B85">
            <v>-3.4518843866000001E-2</v>
          </cell>
        </row>
        <row r="86">
          <cell r="A86">
            <v>-7.2049999999999996E-6</v>
          </cell>
          <cell r="B86">
            <v>-3.4518843866000001E-2</v>
          </cell>
        </row>
        <row r="87">
          <cell r="A87">
            <v>-7.1999999999999997E-6</v>
          </cell>
          <cell r="B87">
            <v>-3.6930904142000003E-2</v>
          </cell>
        </row>
        <row r="88">
          <cell r="A88">
            <v>-7.1949999999999997E-6</v>
          </cell>
          <cell r="B88">
            <v>-3.210678359E-2</v>
          </cell>
        </row>
        <row r="89">
          <cell r="A89">
            <v>-7.1899999999999998E-6</v>
          </cell>
          <cell r="B89">
            <v>-3.8538944324999998E-2</v>
          </cell>
        </row>
        <row r="90">
          <cell r="A90">
            <v>-7.1849999999999998E-6</v>
          </cell>
          <cell r="B90">
            <v>-3.3714823774000001E-2</v>
          </cell>
        </row>
        <row r="91">
          <cell r="A91">
            <v>-7.1799999999999999E-6</v>
          </cell>
          <cell r="B91">
            <v>-3.4518843866000001E-2</v>
          </cell>
        </row>
        <row r="92">
          <cell r="A92">
            <v>-7.1749999999999999E-6</v>
          </cell>
          <cell r="B92">
            <v>-3.4518843866000001E-2</v>
          </cell>
        </row>
        <row r="93">
          <cell r="A93">
            <v>-7.17E-6</v>
          </cell>
          <cell r="B93">
            <v>-3.6126884050000002E-2</v>
          </cell>
        </row>
        <row r="94">
          <cell r="A94">
            <v>-7.165E-6</v>
          </cell>
          <cell r="B94">
            <v>-3.4518843866000001E-2</v>
          </cell>
        </row>
        <row r="95">
          <cell r="A95">
            <v>-7.1600000000000001E-6</v>
          </cell>
          <cell r="B95">
            <v>-3.5322863958000002E-2</v>
          </cell>
        </row>
        <row r="96">
          <cell r="A96">
            <v>-7.1550000000000001E-6</v>
          </cell>
          <cell r="B96">
            <v>-3.4518843866000001E-2</v>
          </cell>
        </row>
        <row r="97">
          <cell r="A97">
            <v>-7.1500000000000002E-6</v>
          </cell>
          <cell r="B97">
            <v>-3.4518843866000001E-2</v>
          </cell>
        </row>
        <row r="98">
          <cell r="A98">
            <v>-7.1450000000000002E-6</v>
          </cell>
          <cell r="B98">
            <v>-3.2910803682000001E-2</v>
          </cell>
        </row>
        <row r="99">
          <cell r="A99">
            <v>-7.1400000000000002E-6</v>
          </cell>
          <cell r="B99">
            <v>-3.3714823774000001E-2</v>
          </cell>
        </row>
        <row r="100">
          <cell r="A100">
            <v>-7.1350000000000003E-6</v>
          </cell>
          <cell r="B100">
            <v>-3.6126884050000002E-2</v>
          </cell>
        </row>
        <row r="101">
          <cell r="A101">
            <v>-7.1300000000000003E-6</v>
          </cell>
          <cell r="B101">
            <v>-3.3714823774000001E-2</v>
          </cell>
        </row>
        <row r="102">
          <cell r="A102">
            <v>-7.1250000000000004E-6</v>
          </cell>
          <cell r="B102">
            <v>-3.5322863958000002E-2</v>
          </cell>
        </row>
        <row r="103">
          <cell r="A103">
            <v>-7.1199999999999996E-6</v>
          </cell>
          <cell r="B103">
            <v>-3.7734924234000003E-2</v>
          </cell>
        </row>
        <row r="104">
          <cell r="A104">
            <v>-7.1149999999999996E-6</v>
          </cell>
          <cell r="B104">
            <v>-3.2910803682000001E-2</v>
          </cell>
        </row>
        <row r="105">
          <cell r="A105">
            <v>-7.1099999999999997E-6</v>
          </cell>
          <cell r="B105">
            <v>-3.4518843866000001E-2</v>
          </cell>
        </row>
        <row r="106">
          <cell r="A106">
            <v>-7.1049999999999997E-6</v>
          </cell>
          <cell r="B106">
            <v>-3.4518843866000001E-2</v>
          </cell>
        </row>
        <row r="107">
          <cell r="A107">
            <v>-7.0999999999999998E-6</v>
          </cell>
          <cell r="B107">
            <v>-3.6126884050000002E-2</v>
          </cell>
        </row>
        <row r="108">
          <cell r="A108">
            <v>-7.0949999999999998E-6</v>
          </cell>
          <cell r="B108">
            <v>-3.210678359E-2</v>
          </cell>
        </row>
        <row r="109">
          <cell r="A109">
            <v>-7.0899999999999999E-6</v>
          </cell>
          <cell r="B109">
            <v>-3.2910803682000001E-2</v>
          </cell>
        </row>
        <row r="110">
          <cell r="A110">
            <v>-7.0849999999999999E-6</v>
          </cell>
          <cell r="B110">
            <v>-3.4518843866000001E-2</v>
          </cell>
        </row>
        <row r="111">
          <cell r="A111">
            <v>-7.08E-6</v>
          </cell>
          <cell r="B111">
            <v>-3.3714823774000001E-2</v>
          </cell>
        </row>
        <row r="112">
          <cell r="A112">
            <v>-7.075E-6</v>
          </cell>
          <cell r="B112">
            <v>-3.4518843866000001E-2</v>
          </cell>
        </row>
        <row r="113">
          <cell r="A113">
            <v>-7.0700000000000001E-6</v>
          </cell>
          <cell r="B113">
            <v>-3.1302763498E-2</v>
          </cell>
        </row>
        <row r="114">
          <cell r="A114">
            <v>-7.0650000000000001E-6</v>
          </cell>
          <cell r="B114">
            <v>-3.5322863958000002E-2</v>
          </cell>
        </row>
        <row r="115">
          <cell r="A115">
            <v>-7.0600000000000002E-6</v>
          </cell>
          <cell r="B115">
            <v>-3.5322863958000002E-2</v>
          </cell>
        </row>
        <row r="116">
          <cell r="A116">
            <v>-7.0550000000000002E-6</v>
          </cell>
          <cell r="B116">
            <v>-3.3714823774000001E-2</v>
          </cell>
        </row>
        <row r="117">
          <cell r="A117">
            <v>-7.0500000000000003E-6</v>
          </cell>
          <cell r="B117">
            <v>-3.4518843866000001E-2</v>
          </cell>
        </row>
        <row r="118">
          <cell r="A118">
            <v>-7.0450000000000003E-6</v>
          </cell>
          <cell r="B118">
            <v>-3.3714823774000001E-2</v>
          </cell>
        </row>
        <row r="119">
          <cell r="A119">
            <v>-7.0400000000000004E-6</v>
          </cell>
          <cell r="B119">
            <v>-3.6126884050000002E-2</v>
          </cell>
        </row>
        <row r="120">
          <cell r="A120">
            <v>-7.0350000000000004E-6</v>
          </cell>
          <cell r="B120">
            <v>-3.2910803682000001E-2</v>
          </cell>
        </row>
        <row r="121">
          <cell r="A121">
            <v>-7.0299999999999996E-6</v>
          </cell>
          <cell r="B121">
            <v>-3.6930904142000003E-2</v>
          </cell>
        </row>
        <row r="122">
          <cell r="A122">
            <v>-7.0249999999999997E-6</v>
          </cell>
          <cell r="B122">
            <v>-3.5322863958000002E-2</v>
          </cell>
        </row>
        <row r="123">
          <cell r="A123">
            <v>-7.0199999999999997E-6</v>
          </cell>
          <cell r="B123">
            <v>-3.4518843866000001E-2</v>
          </cell>
        </row>
        <row r="124">
          <cell r="A124">
            <v>-7.0149999999999998E-6</v>
          </cell>
          <cell r="B124">
            <v>-3.210678359E-2</v>
          </cell>
        </row>
        <row r="125">
          <cell r="A125">
            <v>-7.0099999999999998E-6</v>
          </cell>
          <cell r="B125">
            <v>-3.5322863958000002E-2</v>
          </cell>
        </row>
        <row r="126">
          <cell r="A126">
            <v>-7.0049999999999998E-6</v>
          </cell>
          <cell r="B126">
            <v>-3.4518843866000001E-2</v>
          </cell>
        </row>
        <row r="127">
          <cell r="A127">
            <v>-6.9999999999999999E-6</v>
          </cell>
          <cell r="B127">
            <v>-3.6126884050000002E-2</v>
          </cell>
        </row>
        <row r="128">
          <cell r="A128">
            <v>-6.9949999999999999E-6</v>
          </cell>
          <cell r="B128">
            <v>-3.3714823774000001E-2</v>
          </cell>
        </row>
        <row r="129">
          <cell r="A129">
            <v>-6.99E-6</v>
          </cell>
          <cell r="B129">
            <v>-3.4518843866000001E-2</v>
          </cell>
        </row>
        <row r="130">
          <cell r="A130">
            <v>-6.985E-6</v>
          </cell>
          <cell r="B130">
            <v>-3.210678359E-2</v>
          </cell>
        </row>
        <row r="131">
          <cell r="A131">
            <v>-6.9800000000000001E-6</v>
          </cell>
          <cell r="B131">
            <v>-3.210678359E-2</v>
          </cell>
        </row>
        <row r="132">
          <cell r="A132">
            <v>-6.9750000000000001E-6</v>
          </cell>
          <cell r="B132">
            <v>-3.6126884050000002E-2</v>
          </cell>
        </row>
        <row r="133">
          <cell r="A133">
            <v>-6.9700000000000002E-6</v>
          </cell>
          <cell r="B133">
            <v>-3.5322863958000002E-2</v>
          </cell>
        </row>
        <row r="134">
          <cell r="A134">
            <v>-6.9650000000000002E-6</v>
          </cell>
          <cell r="B134">
            <v>-3.5322863958000002E-2</v>
          </cell>
        </row>
        <row r="135">
          <cell r="A135">
            <v>-6.9600000000000003E-6</v>
          </cell>
          <cell r="B135">
            <v>-3.5322863958000002E-2</v>
          </cell>
        </row>
        <row r="136">
          <cell r="A136">
            <v>-6.9550000000000003E-6</v>
          </cell>
          <cell r="B136">
            <v>-3.1302763498E-2</v>
          </cell>
        </row>
        <row r="137">
          <cell r="A137">
            <v>-6.9500000000000004E-6</v>
          </cell>
          <cell r="B137">
            <v>-3.4518843866000001E-2</v>
          </cell>
        </row>
        <row r="138">
          <cell r="A138">
            <v>-6.9450000000000004E-6</v>
          </cell>
          <cell r="B138">
            <v>-3.4518843866000001E-2</v>
          </cell>
        </row>
        <row r="139">
          <cell r="A139">
            <v>-6.9399999999999996E-6</v>
          </cell>
          <cell r="B139">
            <v>-3.6126884050000002E-2</v>
          </cell>
        </row>
        <row r="140">
          <cell r="A140">
            <v>-6.9349999999999997E-6</v>
          </cell>
          <cell r="B140">
            <v>-3.6930904142000003E-2</v>
          </cell>
        </row>
        <row r="141">
          <cell r="A141">
            <v>-6.9299999999999997E-6</v>
          </cell>
          <cell r="B141">
            <v>-3.6126884050000002E-2</v>
          </cell>
        </row>
        <row r="142">
          <cell r="A142">
            <v>-6.9249999999999998E-6</v>
          </cell>
          <cell r="B142">
            <v>-3.2910803682000001E-2</v>
          </cell>
        </row>
        <row r="143">
          <cell r="A143">
            <v>-6.9199999999999998E-6</v>
          </cell>
          <cell r="B143">
            <v>-3.5322863958000002E-2</v>
          </cell>
        </row>
        <row r="144">
          <cell r="A144">
            <v>-6.9149999999999999E-6</v>
          </cell>
          <cell r="B144">
            <v>-3.3714823774000001E-2</v>
          </cell>
        </row>
        <row r="145">
          <cell r="A145">
            <v>-6.9099999999999999E-6</v>
          </cell>
          <cell r="B145">
            <v>-3.6930904142000003E-2</v>
          </cell>
        </row>
        <row r="146">
          <cell r="A146">
            <v>-6.905E-6</v>
          </cell>
          <cell r="B146">
            <v>-3.3714823774000001E-2</v>
          </cell>
        </row>
        <row r="147">
          <cell r="A147">
            <v>-6.9E-6</v>
          </cell>
          <cell r="B147">
            <v>-3.6126884050000002E-2</v>
          </cell>
        </row>
        <row r="148">
          <cell r="A148">
            <v>-6.8950000000000001E-6</v>
          </cell>
          <cell r="B148">
            <v>-3.210678359E-2</v>
          </cell>
        </row>
        <row r="149">
          <cell r="A149">
            <v>-6.8900000000000001E-6</v>
          </cell>
          <cell r="B149">
            <v>-3.5322863958000002E-2</v>
          </cell>
        </row>
        <row r="150">
          <cell r="A150">
            <v>-6.8850000000000001E-6</v>
          </cell>
          <cell r="B150">
            <v>-3.6126884050000002E-2</v>
          </cell>
        </row>
        <row r="151">
          <cell r="A151">
            <v>-6.8800000000000002E-6</v>
          </cell>
          <cell r="B151">
            <v>-3.210678359E-2</v>
          </cell>
        </row>
        <row r="152">
          <cell r="A152">
            <v>-6.8750000000000002E-6</v>
          </cell>
          <cell r="B152">
            <v>-3.5322863958000002E-2</v>
          </cell>
        </row>
        <row r="153">
          <cell r="A153">
            <v>-6.8700000000000003E-6</v>
          </cell>
          <cell r="B153">
            <v>-3.4518843866000001E-2</v>
          </cell>
        </row>
        <row r="154">
          <cell r="A154">
            <v>-6.8650000000000003E-6</v>
          </cell>
          <cell r="B154">
            <v>-3.4518843866000001E-2</v>
          </cell>
        </row>
        <row r="155">
          <cell r="A155">
            <v>-6.8600000000000004E-6</v>
          </cell>
          <cell r="B155">
            <v>-3.2910803682000001E-2</v>
          </cell>
        </row>
        <row r="156">
          <cell r="A156">
            <v>-6.8549999999999996E-6</v>
          </cell>
          <cell r="B156">
            <v>-3.3714823774000001E-2</v>
          </cell>
        </row>
        <row r="157">
          <cell r="A157">
            <v>-6.8499999999999996E-6</v>
          </cell>
          <cell r="B157">
            <v>-3.2910803682000001E-2</v>
          </cell>
        </row>
        <row r="158">
          <cell r="A158">
            <v>-6.8449999999999997E-6</v>
          </cell>
          <cell r="B158">
            <v>-3.4518843866000001E-2</v>
          </cell>
        </row>
        <row r="159">
          <cell r="A159">
            <v>-6.8399999999999997E-6</v>
          </cell>
          <cell r="B159">
            <v>-3.3714823774000001E-2</v>
          </cell>
        </row>
        <row r="160">
          <cell r="A160">
            <v>-6.8349999999999998E-6</v>
          </cell>
          <cell r="B160">
            <v>-3.6930904142000003E-2</v>
          </cell>
        </row>
        <row r="161">
          <cell r="A161">
            <v>-6.8299999999999998E-6</v>
          </cell>
          <cell r="B161">
            <v>-3.6126884050000002E-2</v>
          </cell>
        </row>
        <row r="162">
          <cell r="A162">
            <v>-6.8249999999999999E-6</v>
          </cell>
          <cell r="B162">
            <v>-3.0498743405999999E-2</v>
          </cell>
        </row>
        <row r="163">
          <cell r="A163">
            <v>-6.8199999999999999E-6</v>
          </cell>
          <cell r="B163">
            <v>-3.3714823774000001E-2</v>
          </cell>
        </row>
        <row r="164">
          <cell r="A164">
            <v>-6.815E-6</v>
          </cell>
          <cell r="B164">
            <v>-3.2910803682000001E-2</v>
          </cell>
        </row>
        <row r="165">
          <cell r="A165">
            <v>-6.81E-6</v>
          </cell>
          <cell r="B165">
            <v>-3.5322863958000002E-2</v>
          </cell>
        </row>
        <row r="166">
          <cell r="A166">
            <v>-6.8050000000000001E-6</v>
          </cell>
          <cell r="B166">
            <v>-3.5322863958000002E-2</v>
          </cell>
        </row>
        <row r="167">
          <cell r="A167">
            <v>-6.8000000000000001E-6</v>
          </cell>
          <cell r="B167">
            <v>-3.6930904142000003E-2</v>
          </cell>
        </row>
        <row r="168">
          <cell r="A168">
            <v>-6.7950000000000002E-6</v>
          </cell>
          <cell r="B168">
            <v>-3.3714823774000001E-2</v>
          </cell>
        </row>
        <row r="169">
          <cell r="A169">
            <v>-6.7900000000000002E-6</v>
          </cell>
          <cell r="B169">
            <v>-3.7734924232999997E-2</v>
          </cell>
        </row>
        <row r="170">
          <cell r="A170">
            <v>-6.7850000000000003E-6</v>
          </cell>
          <cell r="B170">
            <v>-3.4518843866000001E-2</v>
          </cell>
        </row>
        <row r="171">
          <cell r="A171">
            <v>-6.7800000000000003E-6</v>
          </cell>
          <cell r="B171">
            <v>-3.5322863958000002E-2</v>
          </cell>
        </row>
        <row r="172">
          <cell r="A172">
            <v>-6.7750000000000004E-6</v>
          </cell>
          <cell r="B172">
            <v>-3.6126884050000002E-2</v>
          </cell>
        </row>
        <row r="173">
          <cell r="A173">
            <v>-6.7700000000000004E-6</v>
          </cell>
          <cell r="B173">
            <v>-3.5322863958000002E-2</v>
          </cell>
        </row>
        <row r="174">
          <cell r="A174">
            <v>-6.7649999999999996E-6</v>
          </cell>
          <cell r="B174">
            <v>-3.3714823774000001E-2</v>
          </cell>
        </row>
        <row r="175">
          <cell r="A175">
            <v>-6.7599999999999997E-6</v>
          </cell>
          <cell r="B175">
            <v>-3.6930904142000003E-2</v>
          </cell>
        </row>
        <row r="176">
          <cell r="A176">
            <v>-6.7549999999999997E-6</v>
          </cell>
          <cell r="B176">
            <v>-3.3714823774000001E-2</v>
          </cell>
        </row>
        <row r="177">
          <cell r="A177">
            <v>-6.7499999999999997E-6</v>
          </cell>
          <cell r="B177">
            <v>-3.3714823774000001E-2</v>
          </cell>
        </row>
        <row r="178">
          <cell r="A178">
            <v>-6.7449999999999998E-6</v>
          </cell>
          <cell r="B178">
            <v>-3.5322863958000002E-2</v>
          </cell>
        </row>
        <row r="179">
          <cell r="A179">
            <v>-6.7399999999999998E-6</v>
          </cell>
          <cell r="B179">
            <v>-3.5322863958000002E-2</v>
          </cell>
        </row>
        <row r="180">
          <cell r="A180">
            <v>-6.7349999999999999E-6</v>
          </cell>
          <cell r="B180">
            <v>-3.4518843866000001E-2</v>
          </cell>
        </row>
        <row r="181">
          <cell r="A181">
            <v>-6.7299999999999999E-6</v>
          </cell>
          <cell r="B181">
            <v>-3.6930904142000003E-2</v>
          </cell>
        </row>
        <row r="182">
          <cell r="A182">
            <v>-6.725E-6</v>
          </cell>
          <cell r="B182">
            <v>-3.210678359E-2</v>
          </cell>
        </row>
        <row r="183">
          <cell r="A183">
            <v>-6.72E-6</v>
          </cell>
          <cell r="B183">
            <v>-3.6126884050000002E-2</v>
          </cell>
        </row>
        <row r="184">
          <cell r="A184">
            <v>-6.7150000000000001E-6</v>
          </cell>
          <cell r="B184">
            <v>-3.6126884050000002E-2</v>
          </cell>
        </row>
        <row r="185">
          <cell r="A185">
            <v>-6.7100000000000001E-6</v>
          </cell>
          <cell r="B185">
            <v>-3.6126884050000002E-2</v>
          </cell>
        </row>
        <row r="186">
          <cell r="A186">
            <v>-6.7050000000000002E-6</v>
          </cell>
          <cell r="B186">
            <v>-3.5322863958000002E-2</v>
          </cell>
        </row>
        <row r="187">
          <cell r="A187">
            <v>-6.7000000000000002E-6</v>
          </cell>
          <cell r="B187">
            <v>-3.6126884050000002E-2</v>
          </cell>
        </row>
        <row r="188">
          <cell r="A188">
            <v>-6.6950000000000003E-6</v>
          </cell>
          <cell r="B188">
            <v>-3.6930904142000003E-2</v>
          </cell>
        </row>
        <row r="189">
          <cell r="A189">
            <v>-6.6900000000000003E-6</v>
          </cell>
          <cell r="B189">
            <v>-3.5322863958000002E-2</v>
          </cell>
        </row>
        <row r="190">
          <cell r="A190">
            <v>-6.6850000000000004E-6</v>
          </cell>
          <cell r="B190">
            <v>-3.7734924234000003E-2</v>
          </cell>
        </row>
        <row r="191">
          <cell r="A191">
            <v>-6.6800000000000004E-6</v>
          </cell>
          <cell r="B191">
            <v>-3.210678359E-2</v>
          </cell>
        </row>
        <row r="192">
          <cell r="A192">
            <v>-6.6749999999999996E-6</v>
          </cell>
          <cell r="B192">
            <v>-3.210678359E-2</v>
          </cell>
        </row>
        <row r="193">
          <cell r="A193">
            <v>-6.6699999999999997E-6</v>
          </cell>
          <cell r="B193">
            <v>-3.210678359E-2</v>
          </cell>
        </row>
        <row r="194">
          <cell r="A194">
            <v>-6.6649999999999997E-6</v>
          </cell>
          <cell r="B194">
            <v>-3.1302763498E-2</v>
          </cell>
        </row>
        <row r="195">
          <cell r="A195">
            <v>-6.6599999999999998E-6</v>
          </cell>
          <cell r="B195">
            <v>-3.7734924234000003E-2</v>
          </cell>
        </row>
        <row r="196">
          <cell r="A196">
            <v>-6.6549999999999998E-6</v>
          </cell>
          <cell r="B196">
            <v>-3.6930904142000003E-2</v>
          </cell>
        </row>
        <row r="197">
          <cell r="A197">
            <v>-6.6499999999999999E-6</v>
          </cell>
          <cell r="B197">
            <v>-3.5322863958000002E-2</v>
          </cell>
        </row>
        <row r="198">
          <cell r="A198">
            <v>-6.6449999999999999E-6</v>
          </cell>
          <cell r="B198">
            <v>-3.6126884050000002E-2</v>
          </cell>
        </row>
        <row r="199">
          <cell r="A199">
            <v>-6.64E-6</v>
          </cell>
          <cell r="B199">
            <v>-3.7734924234000003E-2</v>
          </cell>
        </row>
        <row r="200">
          <cell r="A200">
            <v>-6.635E-6</v>
          </cell>
          <cell r="B200">
            <v>-3.2910803682000001E-2</v>
          </cell>
        </row>
        <row r="201">
          <cell r="A201">
            <v>-6.63E-6</v>
          </cell>
          <cell r="B201">
            <v>-3.3714823774000001E-2</v>
          </cell>
        </row>
        <row r="202">
          <cell r="A202">
            <v>-6.6250000000000001E-6</v>
          </cell>
          <cell r="B202">
            <v>-3.4518843866000001E-2</v>
          </cell>
        </row>
        <row r="203">
          <cell r="A203">
            <v>-6.6200000000000001E-6</v>
          </cell>
          <cell r="B203">
            <v>-3.6126884050000002E-2</v>
          </cell>
        </row>
        <row r="204">
          <cell r="A204">
            <v>-6.6150000000000002E-6</v>
          </cell>
          <cell r="B204">
            <v>-3.5322863958000002E-2</v>
          </cell>
        </row>
        <row r="205">
          <cell r="A205">
            <v>-6.6100000000000002E-6</v>
          </cell>
          <cell r="B205">
            <v>-3.3714823774000001E-2</v>
          </cell>
        </row>
        <row r="206">
          <cell r="A206">
            <v>-6.6050000000000003E-6</v>
          </cell>
          <cell r="B206">
            <v>-3.3714823774000001E-2</v>
          </cell>
        </row>
        <row r="207">
          <cell r="A207">
            <v>-6.6000000000000003E-6</v>
          </cell>
          <cell r="B207">
            <v>-3.2910803682000001E-2</v>
          </cell>
        </row>
        <row r="208">
          <cell r="A208">
            <v>-6.5950000000000004E-6</v>
          </cell>
          <cell r="B208">
            <v>-3.4518843866000001E-2</v>
          </cell>
        </row>
        <row r="209">
          <cell r="A209">
            <v>-6.5899999999999996E-6</v>
          </cell>
          <cell r="B209">
            <v>-3.2910803682000001E-2</v>
          </cell>
        </row>
        <row r="210">
          <cell r="A210">
            <v>-6.5849999999999996E-6</v>
          </cell>
          <cell r="B210">
            <v>-3.210678359E-2</v>
          </cell>
        </row>
        <row r="211">
          <cell r="A211">
            <v>-6.5799999999999997E-6</v>
          </cell>
          <cell r="B211">
            <v>-3.4518843866000001E-2</v>
          </cell>
        </row>
        <row r="212">
          <cell r="A212">
            <v>-6.5749999999999997E-6</v>
          </cell>
          <cell r="B212">
            <v>-3.1302763498E-2</v>
          </cell>
        </row>
        <row r="213">
          <cell r="A213">
            <v>-6.5699999999999998E-6</v>
          </cell>
          <cell r="B213">
            <v>-3.2910803682000001E-2</v>
          </cell>
        </row>
        <row r="214">
          <cell r="A214">
            <v>-6.5649999999999998E-6</v>
          </cell>
          <cell r="B214">
            <v>-3.3714823774000001E-2</v>
          </cell>
        </row>
        <row r="215">
          <cell r="A215">
            <v>-6.5599999999999999E-6</v>
          </cell>
          <cell r="B215">
            <v>-3.1302763498E-2</v>
          </cell>
        </row>
        <row r="216">
          <cell r="A216">
            <v>-6.5549999999999999E-6</v>
          </cell>
          <cell r="B216">
            <v>-3.1302763498E-2</v>
          </cell>
        </row>
        <row r="217">
          <cell r="A217">
            <v>-6.55E-6</v>
          </cell>
          <cell r="B217">
            <v>-3.5322863958000002E-2</v>
          </cell>
        </row>
        <row r="218">
          <cell r="A218">
            <v>-6.545E-6</v>
          </cell>
          <cell r="B218">
            <v>-3.2910803682000001E-2</v>
          </cell>
        </row>
        <row r="219">
          <cell r="A219">
            <v>-6.5400000000000001E-6</v>
          </cell>
          <cell r="B219">
            <v>-3.0498743405999999E-2</v>
          </cell>
        </row>
        <row r="220">
          <cell r="A220">
            <v>-6.5350000000000001E-6</v>
          </cell>
          <cell r="B220">
            <v>-3.2910803682000001E-2</v>
          </cell>
        </row>
        <row r="221">
          <cell r="A221">
            <v>-6.5300000000000002E-6</v>
          </cell>
          <cell r="B221">
            <v>-3.3714823774000001E-2</v>
          </cell>
        </row>
        <row r="222">
          <cell r="A222">
            <v>-6.5250000000000002E-6</v>
          </cell>
          <cell r="B222">
            <v>-3.3714823774000001E-2</v>
          </cell>
        </row>
        <row r="223">
          <cell r="A223">
            <v>-6.5200000000000003E-6</v>
          </cell>
          <cell r="B223">
            <v>-3.5322863958000002E-2</v>
          </cell>
        </row>
        <row r="224">
          <cell r="A224">
            <v>-6.5150000000000003E-6</v>
          </cell>
          <cell r="B224">
            <v>-3.1302763498E-2</v>
          </cell>
        </row>
        <row r="225">
          <cell r="A225">
            <v>-6.5100000000000004E-6</v>
          </cell>
          <cell r="B225">
            <v>-3.6126884050000002E-2</v>
          </cell>
        </row>
        <row r="226">
          <cell r="A226">
            <v>-6.5050000000000004E-6</v>
          </cell>
          <cell r="B226">
            <v>-3.210678359E-2</v>
          </cell>
        </row>
        <row r="227">
          <cell r="A227">
            <v>-6.4999999999999996E-6</v>
          </cell>
          <cell r="B227">
            <v>-3.3714823774000001E-2</v>
          </cell>
        </row>
        <row r="228">
          <cell r="A228">
            <v>-6.4949999999999996E-6</v>
          </cell>
          <cell r="B228">
            <v>-3.0498743405999999E-2</v>
          </cell>
        </row>
        <row r="229">
          <cell r="A229">
            <v>-6.4899999999999997E-6</v>
          </cell>
          <cell r="B229">
            <v>-3.4518843866000001E-2</v>
          </cell>
        </row>
        <row r="230">
          <cell r="A230">
            <v>-6.4849999999999997E-6</v>
          </cell>
          <cell r="B230">
            <v>-3.6930904142000003E-2</v>
          </cell>
        </row>
        <row r="231">
          <cell r="A231">
            <v>-6.4799999999999998E-6</v>
          </cell>
          <cell r="B231">
            <v>-3.5322863958000002E-2</v>
          </cell>
        </row>
        <row r="232">
          <cell r="A232">
            <v>-6.4749999999999998E-6</v>
          </cell>
          <cell r="B232">
            <v>-3.7734924234000003E-2</v>
          </cell>
        </row>
        <row r="233">
          <cell r="A233">
            <v>-6.4699999999999999E-6</v>
          </cell>
          <cell r="B233">
            <v>-3.4518843866000001E-2</v>
          </cell>
        </row>
        <row r="234">
          <cell r="A234">
            <v>-6.4649999999999999E-6</v>
          </cell>
          <cell r="B234">
            <v>-3.6126884050000002E-2</v>
          </cell>
        </row>
        <row r="235">
          <cell r="A235">
            <v>-6.46E-6</v>
          </cell>
          <cell r="B235">
            <v>-3.6930904142000003E-2</v>
          </cell>
        </row>
        <row r="236">
          <cell r="A236">
            <v>-6.455E-6</v>
          </cell>
          <cell r="B236">
            <v>-3.7734924234000003E-2</v>
          </cell>
        </row>
        <row r="237">
          <cell r="A237">
            <v>-6.4500000000000001E-6</v>
          </cell>
          <cell r="B237">
            <v>-3.6126884050000002E-2</v>
          </cell>
        </row>
        <row r="238">
          <cell r="A238">
            <v>-6.4450000000000001E-6</v>
          </cell>
          <cell r="B238">
            <v>-3.5322863958000002E-2</v>
          </cell>
        </row>
        <row r="239">
          <cell r="A239">
            <v>-6.4400000000000002E-6</v>
          </cell>
          <cell r="B239">
            <v>-3.6126884050000002E-2</v>
          </cell>
        </row>
        <row r="240">
          <cell r="A240">
            <v>-6.4350000000000002E-6</v>
          </cell>
          <cell r="B240">
            <v>-3.6126884050000002E-2</v>
          </cell>
        </row>
        <row r="241">
          <cell r="A241">
            <v>-6.4300000000000003E-6</v>
          </cell>
          <cell r="B241">
            <v>-3.5322863958000002E-2</v>
          </cell>
        </row>
        <row r="242">
          <cell r="A242">
            <v>-6.4250000000000003E-6</v>
          </cell>
          <cell r="B242">
            <v>-3.2910803682000001E-2</v>
          </cell>
        </row>
        <row r="243">
          <cell r="A243">
            <v>-6.4200000000000004E-6</v>
          </cell>
          <cell r="B243">
            <v>-3.6930904142000003E-2</v>
          </cell>
        </row>
        <row r="244">
          <cell r="A244">
            <v>-6.4150000000000004E-6</v>
          </cell>
          <cell r="B244">
            <v>-3.5322863958000002E-2</v>
          </cell>
        </row>
        <row r="245">
          <cell r="A245">
            <v>-6.4099999999999996E-6</v>
          </cell>
          <cell r="B245">
            <v>-3.6930904142000003E-2</v>
          </cell>
        </row>
        <row r="246">
          <cell r="A246">
            <v>-6.4049999999999997E-6</v>
          </cell>
          <cell r="B246">
            <v>-3.2910803682000001E-2</v>
          </cell>
        </row>
        <row r="247">
          <cell r="A247">
            <v>-6.3999999999999997E-6</v>
          </cell>
          <cell r="B247">
            <v>-3.6930904142000003E-2</v>
          </cell>
        </row>
        <row r="248">
          <cell r="A248">
            <v>-6.3949999999999998E-6</v>
          </cell>
          <cell r="B248">
            <v>-3.3714823774000001E-2</v>
          </cell>
        </row>
        <row r="249">
          <cell r="A249">
            <v>-6.3899999999999998E-6</v>
          </cell>
          <cell r="B249">
            <v>-3.6126884050000002E-2</v>
          </cell>
        </row>
        <row r="250">
          <cell r="A250">
            <v>-6.3849999999999999E-6</v>
          </cell>
          <cell r="B250">
            <v>-3.5322863958000002E-2</v>
          </cell>
        </row>
        <row r="251">
          <cell r="A251">
            <v>-6.3799999999999999E-6</v>
          </cell>
          <cell r="B251">
            <v>-3.3714823774000001E-2</v>
          </cell>
        </row>
        <row r="252">
          <cell r="A252">
            <v>-6.3749999999999999E-6</v>
          </cell>
          <cell r="B252">
            <v>-3.3714823774000001E-2</v>
          </cell>
        </row>
        <row r="253">
          <cell r="A253">
            <v>-6.37E-6</v>
          </cell>
          <cell r="B253">
            <v>-3.1302763498E-2</v>
          </cell>
        </row>
        <row r="254">
          <cell r="A254">
            <v>-6.365E-6</v>
          </cell>
          <cell r="B254">
            <v>-3.5322863958000002E-2</v>
          </cell>
        </row>
        <row r="255">
          <cell r="A255">
            <v>-6.3600000000000001E-6</v>
          </cell>
          <cell r="B255">
            <v>-3.2910803682000001E-2</v>
          </cell>
        </row>
        <row r="256">
          <cell r="A256">
            <v>-6.3550000000000001E-6</v>
          </cell>
          <cell r="B256">
            <v>-3.2910803682000001E-2</v>
          </cell>
        </row>
        <row r="257">
          <cell r="A257">
            <v>-6.3500000000000002E-6</v>
          </cell>
          <cell r="B257">
            <v>-3.0498743407000001E-2</v>
          </cell>
        </row>
        <row r="258">
          <cell r="A258">
            <v>-6.3450000000000002E-6</v>
          </cell>
          <cell r="B258">
            <v>-3.1302763498E-2</v>
          </cell>
        </row>
        <row r="259">
          <cell r="A259">
            <v>-6.3400000000000003E-6</v>
          </cell>
          <cell r="B259">
            <v>-3.5322863958000002E-2</v>
          </cell>
        </row>
        <row r="260">
          <cell r="A260">
            <v>-6.3350000000000003E-6</v>
          </cell>
          <cell r="B260">
            <v>-3.2910803682000001E-2</v>
          </cell>
        </row>
        <row r="261">
          <cell r="A261">
            <v>-6.3300000000000004E-6</v>
          </cell>
          <cell r="B261">
            <v>-3.3714823774000001E-2</v>
          </cell>
        </row>
        <row r="262">
          <cell r="A262">
            <v>-6.3249999999999996E-6</v>
          </cell>
          <cell r="B262">
            <v>-3.3714823774000001E-2</v>
          </cell>
        </row>
        <row r="263">
          <cell r="A263">
            <v>-6.3199999999999996E-6</v>
          </cell>
          <cell r="B263">
            <v>-3.2910803682000001E-2</v>
          </cell>
        </row>
        <row r="264">
          <cell r="A264">
            <v>-6.3149999999999997E-6</v>
          </cell>
          <cell r="B264">
            <v>-2.9694723315000001E-2</v>
          </cell>
        </row>
        <row r="265">
          <cell r="A265">
            <v>-6.3099999999999997E-6</v>
          </cell>
          <cell r="B265">
            <v>-3.2910803682000001E-2</v>
          </cell>
        </row>
        <row r="266">
          <cell r="A266">
            <v>-6.3049999999999998E-6</v>
          </cell>
          <cell r="B266">
            <v>-3.6126884050000002E-2</v>
          </cell>
        </row>
        <row r="267">
          <cell r="A267">
            <v>-6.2999999999999998E-6</v>
          </cell>
          <cell r="B267">
            <v>-3.4518843866000001E-2</v>
          </cell>
        </row>
        <row r="268">
          <cell r="A268">
            <v>-6.2949999999999999E-6</v>
          </cell>
          <cell r="B268">
            <v>-3.4518843866000001E-2</v>
          </cell>
        </row>
        <row r="269">
          <cell r="A269">
            <v>-6.2899999999999999E-6</v>
          </cell>
          <cell r="B269">
            <v>-3.5322863958000002E-2</v>
          </cell>
        </row>
        <row r="270">
          <cell r="A270">
            <v>-6.285E-6</v>
          </cell>
          <cell r="B270">
            <v>-3.4518843866000001E-2</v>
          </cell>
        </row>
        <row r="271">
          <cell r="A271">
            <v>-6.28E-6</v>
          </cell>
          <cell r="B271">
            <v>-3.3714823774000001E-2</v>
          </cell>
        </row>
        <row r="272">
          <cell r="A272">
            <v>-6.2750000000000001E-6</v>
          </cell>
          <cell r="B272">
            <v>-3.3714823774000001E-2</v>
          </cell>
        </row>
        <row r="273">
          <cell r="A273">
            <v>-6.2700000000000001E-6</v>
          </cell>
          <cell r="B273">
            <v>-3.4518843866000001E-2</v>
          </cell>
        </row>
        <row r="274">
          <cell r="A274">
            <v>-6.2650000000000002E-6</v>
          </cell>
          <cell r="B274">
            <v>-3.6930904142000003E-2</v>
          </cell>
        </row>
        <row r="275">
          <cell r="A275">
            <v>-6.2600000000000002E-6</v>
          </cell>
          <cell r="B275">
            <v>-3.4518843866000001E-2</v>
          </cell>
        </row>
        <row r="276">
          <cell r="A276">
            <v>-6.2550000000000003E-6</v>
          </cell>
          <cell r="B276">
            <v>-3.210678359E-2</v>
          </cell>
        </row>
        <row r="277">
          <cell r="A277">
            <v>-6.2500000000000003E-6</v>
          </cell>
          <cell r="B277">
            <v>-3.5322863958000002E-2</v>
          </cell>
        </row>
        <row r="278">
          <cell r="A278">
            <v>-6.2450000000000003E-6</v>
          </cell>
          <cell r="B278">
            <v>-3.5322863958000002E-2</v>
          </cell>
        </row>
        <row r="279">
          <cell r="A279">
            <v>-6.2400000000000004E-6</v>
          </cell>
          <cell r="B279">
            <v>-3.5322863958000002E-2</v>
          </cell>
        </row>
        <row r="280">
          <cell r="A280">
            <v>-6.2349999999999996E-6</v>
          </cell>
          <cell r="B280">
            <v>-3.4518843866000001E-2</v>
          </cell>
        </row>
        <row r="281">
          <cell r="A281">
            <v>-6.2299999999999996E-6</v>
          </cell>
          <cell r="B281">
            <v>-3.5322863958000002E-2</v>
          </cell>
        </row>
        <row r="282">
          <cell r="A282">
            <v>-6.2249999999999997E-6</v>
          </cell>
          <cell r="B282">
            <v>-3.3714823774000001E-2</v>
          </cell>
        </row>
        <row r="283">
          <cell r="A283">
            <v>-6.2199999999999997E-6</v>
          </cell>
          <cell r="B283">
            <v>-3.7734924232999997E-2</v>
          </cell>
        </row>
        <row r="284">
          <cell r="A284">
            <v>-6.2149999999999998E-6</v>
          </cell>
          <cell r="B284">
            <v>-3.3714823774000001E-2</v>
          </cell>
        </row>
        <row r="285">
          <cell r="A285">
            <v>-6.2099999999999998E-6</v>
          </cell>
          <cell r="B285">
            <v>-3.2910803682000001E-2</v>
          </cell>
        </row>
        <row r="286">
          <cell r="A286">
            <v>-6.2049999999999999E-6</v>
          </cell>
          <cell r="B286">
            <v>-3.4518843866000001E-2</v>
          </cell>
        </row>
        <row r="287">
          <cell r="A287">
            <v>-6.1999999999999999E-6</v>
          </cell>
          <cell r="B287">
            <v>-3.4518843866000001E-2</v>
          </cell>
        </row>
        <row r="288">
          <cell r="A288">
            <v>-6.195E-6</v>
          </cell>
          <cell r="B288">
            <v>-3.3714823774000001E-2</v>
          </cell>
        </row>
        <row r="289">
          <cell r="A289">
            <v>-6.19E-6</v>
          </cell>
          <cell r="B289">
            <v>-3.4518843866000001E-2</v>
          </cell>
        </row>
        <row r="290">
          <cell r="A290">
            <v>-6.1850000000000001E-6</v>
          </cell>
          <cell r="B290">
            <v>-3.7734924232999997E-2</v>
          </cell>
        </row>
        <row r="291">
          <cell r="A291">
            <v>-6.1800000000000001E-6</v>
          </cell>
          <cell r="B291">
            <v>-3.1302763498E-2</v>
          </cell>
        </row>
        <row r="292">
          <cell r="A292">
            <v>-6.1750000000000002E-6</v>
          </cell>
          <cell r="B292">
            <v>-3.6930904142000003E-2</v>
          </cell>
        </row>
        <row r="293">
          <cell r="A293">
            <v>-6.1700000000000002E-6</v>
          </cell>
          <cell r="B293">
            <v>-3.3714823774000001E-2</v>
          </cell>
        </row>
        <row r="294">
          <cell r="A294">
            <v>-6.1650000000000003E-6</v>
          </cell>
          <cell r="B294">
            <v>-3.6930904142000003E-2</v>
          </cell>
        </row>
        <row r="295">
          <cell r="A295">
            <v>-6.1600000000000003E-6</v>
          </cell>
          <cell r="B295">
            <v>-3.7734924234000003E-2</v>
          </cell>
        </row>
        <row r="296">
          <cell r="A296">
            <v>-6.1550000000000004E-6</v>
          </cell>
          <cell r="B296">
            <v>-3.1302763498E-2</v>
          </cell>
        </row>
        <row r="297">
          <cell r="A297">
            <v>-6.1500000000000004E-6</v>
          </cell>
          <cell r="B297">
            <v>-3.0498743407000001E-2</v>
          </cell>
        </row>
        <row r="298">
          <cell r="A298">
            <v>-6.1449999999999996E-6</v>
          </cell>
          <cell r="B298">
            <v>-3.4518843866000001E-2</v>
          </cell>
        </row>
        <row r="299">
          <cell r="A299">
            <v>-6.1399999999999997E-6</v>
          </cell>
          <cell r="B299">
            <v>-3.3714823774000001E-2</v>
          </cell>
        </row>
        <row r="300">
          <cell r="A300">
            <v>-6.1349999999999997E-6</v>
          </cell>
          <cell r="B300">
            <v>-3.6126884050000002E-2</v>
          </cell>
        </row>
        <row r="301">
          <cell r="A301">
            <v>-6.1299999999999998E-6</v>
          </cell>
          <cell r="B301">
            <v>-3.6930904142000003E-2</v>
          </cell>
        </row>
        <row r="302">
          <cell r="A302">
            <v>-6.1249999999999998E-6</v>
          </cell>
          <cell r="B302">
            <v>-3.4518843866000001E-2</v>
          </cell>
        </row>
        <row r="303">
          <cell r="A303">
            <v>-6.1199999999999999E-6</v>
          </cell>
          <cell r="B303">
            <v>-3.5322863958000002E-2</v>
          </cell>
        </row>
        <row r="304">
          <cell r="A304">
            <v>-6.1149999999999999E-6</v>
          </cell>
          <cell r="B304">
            <v>-3.6126884050000002E-2</v>
          </cell>
        </row>
        <row r="305">
          <cell r="A305">
            <v>-6.1099999999999999E-6</v>
          </cell>
          <cell r="B305">
            <v>-3.4518843866000001E-2</v>
          </cell>
        </row>
        <row r="306">
          <cell r="A306">
            <v>-6.105E-6</v>
          </cell>
          <cell r="B306">
            <v>-3.210678359E-2</v>
          </cell>
        </row>
        <row r="307">
          <cell r="A307">
            <v>-6.1E-6</v>
          </cell>
          <cell r="B307">
            <v>-3.3714823774000001E-2</v>
          </cell>
        </row>
        <row r="308">
          <cell r="A308">
            <v>-6.0950000000000001E-6</v>
          </cell>
          <cell r="B308">
            <v>-3.3714823774000001E-2</v>
          </cell>
        </row>
        <row r="309">
          <cell r="A309">
            <v>-6.0900000000000001E-6</v>
          </cell>
          <cell r="B309">
            <v>-3.6126884050000002E-2</v>
          </cell>
        </row>
        <row r="310">
          <cell r="A310">
            <v>-6.0850000000000002E-6</v>
          </cell>
          <cell r="B310">
            <v>-3.6126884050000002E-2</v>
          </cell>
        </row>
        <row r="311">
          <cell r="A311">
            <v>-6.0800000000000002E-6</v>
          </cell>
          <cell r="B311">
            <v>-3.5322863958000002E-2</v>
          </cell>
        </row>
        <row r="312">
          <cell r="A312">
            <v>-6.0750000000000003E-6</v>
          </cell>
          <cell r="B312">
            <v>-3.5322863958000002E-2</v>
          </cell>
        </row>
        <row r="313">
          <cell r="A313">
            <v>-6.0700000000000003E-6</v>
          </cell>
          <cell r="B313">
            <v>-3.3714823774000001E-2</v>
          </cell>
        </row>
        <row r="314">
          <cell r="A314">
            <v>-6.0650000000000004E-6</v>
          </cell>
          <cell r="B314">
            <v>-3.4518843866000001E-2</v>
          </cell>
        </row>
        <row r="315">
          <cell r="A315">
            <v>-6.0599999999999996E-6</v>
          </cell>
          <cell r="B315">
            <v>-3.4518843866000001E-2</v>
          </cell>
        </row>
        <row r="316">
          <cell r="A316">
            <v>-6.0549999999999996E-6</v>
          </cell>
          <cell r="B316">
            <v>-3.2910803682000001E-2</v>
          </cell>
        </row>
        <row r="317">
          <cell r="A317">
            <v>-6.0499999999999997E-6</v>
          </cell>
          <cell r="B317">
            <v>-3.3714823774000001E-2</v>
          </cell>
        </row>
        <row r="318">
          <cell r="A318">
            <v>-6.0449999999999997E-6</v>
          </cell>
          <cell r="B318">
            <v>-3.2910803682000001E-2</v>
          </cell>
        </row>
        <row r="319">
          <cell r="A319">
            <v>-6.0399999999999998E-6</v>
          </cell>
          <cell r="B319">
            <v>-3.6126884050000002E-2</v>
          </cell>
        </row>
        <row r="320">
          <cell r="A320">
            <v>-6.0349999999999998E-6</v>
          </cell>
          <cell r="B320">
            <v>-3.4518843866000001E-2</v>
          </cell>
        </row>
        <row r="321">
          <cell r="A321">
            <v>-6.0299999999999999E-6</v>
          </cell>
          <cell r="B321">
            <v>-3.2910803682000001E-2</v>
          </cell>
        </row>
        <row r="322">
          <cell r="A322">
            <v>-6.0249999999999999E-6</v>
          </cell>
          <cell r="B322">
            <v>-3.3714823774000001E-2</v>
          </cell>
        </row>
        <row r="323">
          <cell r="A323">
            <v>-6.02E-6</v>
          </cell>
          <cell r="B323">
            <v>-3.6126884050000002E-2</v>
          </cell>
        </row>
        <row r="324">
          <cell r="A324">
            <v>-6.015E-6</v>
          </cell>
          <cell r="B324">
            <v>-3.5322863958000002E-2</v>
          </cell>
        </row>
        <row r="325">
          <cell r="A325">
            <v>-6.0100000000000001E-6</v>
          </cell>
          <cell r="B325">
            <v>-3.4518843866000001E-2</v>
          </cell>
        </row>
        <row r="326">
          <cell r="A326">
            <v>-6.0050000000000001E-6</v>
          </cell>
          <cell r="B326">
            <v>-3.4518843866000001E-2</v>
          </cell>
        </row>
        <row r="327">
          <cell r="A327">
            <v>-6.0000000000000002E-6</v>
          </cell>
          <cell r="B327">
            <v>-3.210678359E-2</v>
          </cell>
        </row>
        <row r="328">
          <cell r="A328">
            <v>-5.9950000000000002E-6</v>
          </cell>
          <cell r="B328">
            <v>-3.1302763498E-2</v>
          </cell>
        </row>
        <row r="329">
          <cell r="A329">
            <v>-5.9900000000000002E-6</v>
          </cell>
          <cell r="B329">
            <v>-3.2910803682000001E-2</v>
          </cell>
        </row>
        <row r="330">
          <cell r="A330">
            <v>-5.9850000000000003E-6</v>
          </cell>
          <cell r="B330">
            <v>-3.1302763498E-2</v>
          </cell>
        </row>
        <row r="331">
          <cell r="A331">
            <v>-5.9800000000000003E-6</v>
          </cell>
          <cell r="B331">
            <v>-3.5322863958000002E-2</v>
          </cell>
        </row>
        <row r="332">
          <cell r="A332">
            <v>-5.9750000000000004E-6</v>
          </cell>
          <cell r="B332">
            <v>-3.5322863958000002E-2</v>
          </cell>
        </row>
        <row r="333">
          <cell r="A333">
            <v>-5.9699999999999996E-6</v>
          </cell>
          <cell r="B333">
            <v>-3.3714823774000001E-2</v>
          </cell>
        </row>
        <row r="334">
          <cell r="A334">
            <v>-5.9649999999999996E-6</v>
          </cell>
          <cell r="B334">
            <v>-3.3714823774000001E-2</v>
          </cell>
        </row>
        <row r="335">
          <cell r="A335">
            <v>-5.9599999999999997E-6</v>
          </cell>
          <cell r="B335">
            <v>-3.2910803682000001E-2</v>
          </cell>
        </row>
        <row r="336">
          <cell r="A336">
            <v>-5.9549999999999997E-6</v>
          </cell>
          <cell r="B336">
            <v>-3.210678359E-2</v>
          </cell>
        </row>
        <row r="337">
          <cell r="A337">
            <v>-5.9499999999999998E-6</v>
          </cell>
          <cell r="B337">
            <v>-3.5322863958000002E-2</v>
          </cell>
        </row>
        <row r="338">
          <cell r="A338">
            <v>-5.9449999999999998E-6</v>
          </cell>
          <cell r="B338">
            <v>-3.4518843866000001E-2</v>
          </cell>
        </row>
        <row r="339">
          <cell r="A339">
            <v>-5.9399999999999999E-6</v>
          </cell>
          <cell r="B339">
            <v>-3.5322863958000002E-2</v>
          </cell>
        </row>
        <row r="340">
          <cell r="A340">
            <v>-5.9349999999999999E-6</v>
          </cell>
          <cell r="B340">
            <v>-3.4518843866000001E-2</v>
          </cell>
        </row>
        <row r="341">
          <cell r="A341">
            <v>-5.93E-6</v>
          </cell>
          <cell r="B341">
            <v>-3.4518843866000001E-2</v>
          </cell>
        </row>
        <row r="342">
          <cell r="A342">
            <v>-5.925E-6</v>
          </cell>
          <cell r="B342">
            <v>-3.4518843866000001E-2</v>
          </cell>
        </row>
        <row r="343">
          <cell r="A343">
            <v>-5.9200000000000001E-6</v>
          </cell>
          <cell r="B343">
            <v>-3.3714823774000001E-2</v>
          </cell>
        </row>
        <row r="344">
          <cell r="A344">
            <v>-5.9150000000000001E-6</v>
          </cell>
          <cell r="B344">
            <v>-3.9342964416999998E-2</v>
          </cell>
        </row>
        <row r="345">
          <cell r="A345">
            <v>-5.9100000000000002E-6</v>
          </cell>
          <cell r="B345">
            <v>-3.7734924232999997E-2</v>
          </cell>
        </row>
        <row r="346">
          <cell r="A346">
            <v>-5.9050000000000002E-6</v>
          </cell>
          <cell r="B346">
            <v>-3.4518843866000001E-2</v>
          </cell>
        </row>
        <row r="347">
          <cell r="A347">
            <v>-5.9000000000000003E-6</v>
          </cell>
          <cell r="B347">
            <v>-3.4518843866000001E-2</v>
          </cell>
        </row>
        <row r="348">
          <cell r="A348">
            <v>-5.8950000000000003E-6</v>
          </cell>
          <cell r="B348">
            <v>-3.4518843866000001E-2</v>
          </cell>
        </row>
        <row r="349">
          <cell r="A349">
            <v>-5.8900000000000004E-6</v>
          </cell>
          <cell r="B349">
            <v>-3.6126884050000002E-2</v>
          </cell>
        </row>
        <row r="350">
          <cell r="A350">
            <v>-5.8850000000000004E-6</v>
          </cell>
          <cell r="B350">
            <v>-3.5322863958000002E-2</v>
          </cell>
        </row>
        <row r="351">
          <cell r="A351">
            <v>-5.8799999999999996E-6</v>
          </cell>
          <cell r="B351">
            <v>-3.4518843866000001E-2</v>
          </cell>
        </row>
        <row r="352">
          <cell r="A352">
            <v>-5.8749999999999997E-6</v>
          </cell>
          <cell r="B352">
            <v>-3.5322863958000002E-2</v>
          </cell>
        </row>
        <row r="353">
          <cell r="A353">
            <v>-5.8699999999999997E-6</v>
          </cell>
          <cell r="B353">
            <v>-3.7734924234000003E-2</v>
          </cell>
        </row>
        <row r="354">
          <cell r="A354">
            <v>-5.8649999999999998E-6</v>
          </cell>
          <cell r="B354">
            <v>-3.4518843866000001E-2</v>
          </cell>
        </row>
        <row r="355">
          <cell r="A355">
            <v>-5.8599999999999998E-6</v>
          </cell>
          <cell r="B355">
            <v>-3.6126884050000002E-2</v>
          </cell>
        </row>
        <row r="356">
          <cell r="A356">
            <v>-5.8549999999999998E-6</v>
          </cell>
          <cell r="B356">
            <v>-3.6126884050000002E-2</v>
          </cell>
        </row>
        <row r="357">
          <cell r="A357">
            <v>-5.8499999999999999E-6</v>
          </cell>
          <cell r="B357">
            <v>-3.3714823774000001E-2</v>
          </cell>
        </row>
        <row r="358">
          <cell r="A358">
            <v>-5.8449999999999999E-6</v>
          </cell>
          <cell r="B358">
            <v>-3.4518843866000001E-2</v>
          </cell>
        </row>
        <row r="359">
          <cell r="A359">
            <v>-5.84E-6</v>
          </cell>
          <cell r="B359">
            <v>-3.6126884050000002E-2</v>
          </cell>
        </row>
        <row r="360">
          <cell r="A360">
            <v>-5.835E-6</v>
          </cell>
          <cell r="B360">
            <v>-3.2910803682000001E-2</v>
          </cell>
        </row>
        <row r="361">
          <cell r="A361">
            <v>-5.8300000000000001E-6</v>
          </cell>
          <cell r="B361">
            <v>-3.4518843866000001E-2</v>
          </cell>
        </row>
        <row r="362">
          <cell r="A362">
            <v>-5.8250000000000001E-6</v>
          </cell>
          <cell r="B362">
            <v>-3.7734924234000003E-2</v>
          </cell>
        </row>
        <row r="363">
          <cell r="A363">
            <v>-5.8200000000000002E-6</v>
          </cell>
          <cell r="B363">
            <v>-3.210678359E-2</v>
          </cell>
        </row>
        <row r="364">
          <cell r="A364">
            <v>-5.8150000000000002E-6</v>
          </cell>
          <cell r="B364">
            <v>-3.8538944324999998E-2</v>
          </cell>
        </row>
        <row r="365">
          <cell r="A365">
            <v>-5.8100000000000003E-6</v>
          </cell>
          <cell r="B365">
            <v>-3.6126884050000002E-2</v>
          </cell>
        </row>
        <row r="366">
          <cell r="A366">
            <v>-5.8050000000000003E-6</v>
          </cell>
          <cell r="B366">
            <v>-3.210678359E-2</v>
          </cell>
        </row>
        <row r="367">
          <cell r="A367">
            <v>-5.8000000000000004E-6</v>
          </cell>
          <cell r="B367">
            <v>-3.2910803682000001E-2</v>
          </cell>
        </row>
        <row r="368">
          <cell r="A368">
            <v>-5.7950000000000004E-6</v>
          </cell>
          <cell r="B368">
            <v>-3.7734924232999997E-2</v>
          </cell>
        </row>
        <row r="369">
          <cell r="A369">
            <v>-5.7899999999999996E-6</v>
          </cell>
          <cell r="B369">
            <v>-3.6126884050000002E-2</v>
          </cell>
        </row>
        <row r="370">
          <cell r="A370">
            <v>-5.7849999999999997E-6</v>
          </cell>
          <cell r="B370">
            <v>-3.2910803682000001E-2</v>
          </cell>
        </row>
        <row r="371">
          <cell r="A371">
            <v>-5.7799999999999997E-6</v>
          </cell>
          <cell r="B371">
            <v>-3.4518843866000001E-2</v>
          </cell>
        </row>
        <row r="372">
          <cell r="A372">
            <v>-5.7749999999999998E-6</v>
          </cell>
          <cell r="B372">
            <v>-3.4518843866000001E-2</v>
          </cell>
        </row>
        <row r="373">
          <cell r="A373">
            <v>-5.7699999999999998E-6</v>
          </cell>
          <cell r="B373">
            <v>-3.6126884050000002E-2</v>
          </cell>
        </row>
        <row r="374">
          <cell r="A374">
            <v>-5.7649999999999999E-6</v>
          </cell>
          <cell r="B374">
            <v>-3.5322863958000002E-2</v>
          </cell>
        </row>
        <row r="375">
          <cell r="A375">
            <v>-5.7599999999999999E-6</v>
          </cell>
          <cell r="B375">
            <v>-3.6126884050000002E-2</v>
          </cell>
        </row>
        <row r="376">
          <cell r="A376">
            <v>-5.755E-6</v>
          </cell>
          <cell r="B376">
            <v>-3.3714823774000001E-2</v>
          </cell>
        </row>
        <row r="377">
          <cell r="A377">
            <v>-5.75E-6</v>
          </cell>
          <cell r="B377">
            <v>-3.4518843866000001E-2</v>
          </cell>
        </row>
        <row r="378">
          <cell r="A378">
            <v>-5.7450000000000001E-6</v>
          </cell>
          <cell r="B378">
            <v>-3.5322863958000002E-2</v>
          </cell>
        </row>
        <row r="379">
          <cell r="A379">
            <v>-5.7400000000000001E-6</v>
          </cell>
          <cell r="B379">
            <v>-3.3714823774000001E-2</v>
          </cell>
        </row>
        <row r="380">
          <cell r="A380">
            <v>-5.7350000000000001E-6</v>
          </cell>
          <cell r="B380">
            <v>-3.4518843866000001E-2</v>
          </cell>
        </row>
        <row r="381">
          <cell r="A381">
            <v>-5.7300000000000002E-6</v>
          </cell>
          <cell r="B381">
            <v>-3.210678359E-2</v>
          </cell>
        </row>
        <row r="382">
          <cell r="A382">
            <v>-5.7250000000000002E-6</v>
          </cell>
          <cell r="B382">
            <v>-3.4518843866000001E-2</v>
          </cell>
        </row>
        <row r="383">
          <cell r="A383">
            <v>-5.7200000000000003E-6</v>
          </cell>
          <cell r="B383">
            <v>-3.5322863958000002E-2</v>
          </cell>
        </row>
        <row r="384">
          <cell r="A384">
            <v>-5.7150000000000003E-6</v>
          </cell>
          <cell r="B384">
            <v>-2.9694723315000001E-2</v>
          </cell>
        </row>
        <row r="385">
          <cell r="A385">
            <v>-5.7100000000000004E-6</v>
          </cell>
          <cell r="B385">
            <v>-3.5322863958000002E-2</v>
          </cell>
        </row>
        <row r="386">
          <cell r="A386">
            <v>-5.7049999999999996E-6</v>
          </cell>
          <cell r="B386">
            <v>-3.1302763498E-2</v>
          </cell>
        </row>
        <row r="387">
          <cell r="A387">
            <v>-5.6999999999999996E-6</v>
          </cell>
          <cell r="B387">
            <v>-3.6930904142000003E-2</v>
          </cell>
        </row>
        <row r="388">
          <cell r="A388">
            <v>-5.6949999999999997E-6</v>
          </cell>
          <cell r="B388">
            <v>-3.2910803682000001E-2</v>
          </cell>
        </row>
        <row r="389">
          <cell r="A389">
            <v>-5.6899999999999997E-6</v>
          </cell>
          <cell r="B389">
            <v>-3.4518843866000001E-2</v>
          </cell>
        </row>
        <row r="390">
          <cell r="A390">
            <v>-5.6849999999999998E-6</v>
          </cell>
          <cell r="B390">
            <v>-3.2910803682000001E-2</v>
          </cell>
        </row>
        <row r="391">
          <cell r="A391">
            <v>-5.6799999999999998E-6</v>
          </cell>
          <cell r="B391">
            <v>-3.5322863958000002E-2</v>
          </cell>
        </row>
        <row r="392">
          <cell r="A392">
            <v>-5.6749999999999999E-6</v>
          </cell>
          <cell r="B392">
            <v>-3.210678359E-2</v>
          </cell>
        </row>
        <row r="393">
          <cell r="A393">
            <v>-5.6699999999999999E-6</v>
          </cell>
          <cell r="B393">
            <v>-3.2910803682000001E-2</v>
          </cell>
        </row>
        <row r="394">
          <cell r="A394">
            <v>-5.665E-6</v>
          </cell>
          <cell r="B394">
            <v>-3.8538944324999998E-2</v>
          </cell>
        </row>
        <row r="395">
          <cell r="A395">
            <v>-5.66E-6</v>
          </cell>
          <cell r="B395">
            <v>-3.3714823774000001E-2</v>
          </cell>
        </row>
        <row r="396">
          <cell r="A396">
            <v>-5.6550000000000001E-6</v>
          </cell>
          <cell r="B396">
            <v>-3.4518843866000001E-2</v>
          </cell>
        </row>
        <row r="397">
          <cell r="A397">
            <v>-5.6500000000000001E-6</v>
          </cell>
          <cell r="B397">
            <v>-3.4518843866000001E-2</v>
          </cell>
        </row>
        <row r="398">
          <cell r="A398">
            <v>-5.6450000000000002E-6</v>
          </cell>
          <cell r="B398">
            <v>-3.3714823774000001E-2</v>
          </cell>
        </row>
        <row r="399">
          <cell r="A399">
            <v>-5.6400000000000002E-6</v>
          </cell>
          <cell r="B399">
            <v>-3.5322863958000002E-2</v>
          </cell>
        </row>
        <row r="400">
          <cell r="A400">
            <v>-5.6350000000000003E-6</v>
          </cell>
          <cell r="B400">
            <v>-3.2910803682000001E-2</v>
          </cell>
        </row>
        <row r="401">
          <cell r="A401">
            <v>-5.6300000000000003E-6</v>
          </cell>
          <cell r="B401">
            <v>-3.2910803682000001E-2</v>
          </cell>
        </row>
        <row r="402">
          <cell r="A402">
            <v>-5.6250000000000004E-6</v>
          </cell>
          <cell r="B402">
            <v>-3.6930904142000003E-2</v>
          </cell>
        </row>
        <row r="403">
          <cell r="A403">
            <v>-5.6200000000000004E-6</v>
          </cell>
          <cell r="B403">
            <v>-3.4518843866000001E-2</v>
          </cell>
        </row>
        <row r="404">
          <cell r="A404">
            <v>-5.6149999999999996E-6</v>
          </cell>
          <cell r="B404">
            <v>-3.5322863958000002E-2</v>
          </cell>
        </row>
        <row r="405">
          <cell r="A405">
            <v>-5.6099999999999997E-6</v>
          </cell>
          <cell r="B405">
            <v>-3.2910803682000001E-2</v>
          </cell>
        </row>
        <row r="406">
          <cell r="A406">
            <v>-5.6049999999999997E-6</v>
          </cell>
          <cell r="B406">
            <v>-3.4518843866000001E-2</v>
          </cell>
        </row>
        <row r="407">
          <cell r="A407">
            <v>-5.5999999999999997E-6</v>
          </cell>
          <cell r="B407">
            <v>-3.4518843866000001E-2</v>
          </cell>
        </row>
        <row r="408">
          <cell r="A408">
            <v>-5.5949999999999998E-6</v>
          </cell>
          <cell r="B408">
            <v>-3.2910803682000001E-2</v>
          </cell>
        </row>
        <row r="409">
          <cell r="A409">
            <v>-5.5899999999999998E-6</v>
          </cell>
          <cell r="B409">
            <v>-3.4518843866000001E-2</v>
          </cell>
        </row>
        <row r="410">
          <cell r="A410">
            <v>-5.5849999999999999E-6</v>
          </cell>
          <cell r="B410">
            <v>-3.6126884050000002E-2</v>
          </cell>
        </row>
        <row r="411">
          <cell r="A411">
            <v>-5.5799999999999999E-6</v>
          </cell>
          <cell r="B411">
            <v>-3.4518843866000001E-2</v>
          </cell>
        </row>
        <row r="412">
          <cell r="A412">
            <v>-5.575E-6</v>
          </cell>
          <cell r="B412">
            <v>-3.2910803682000001E-2</v>
          </cell>
        </row>
        <row r="413">
          <cell r="A413">
            <v>-5.57E-6</v>
          </cell>
          <cell r="B413">
            <v>-3.3714823774000001E-2</v>
          </cell>
        </row>
        <row r="414">
          <cell r="A414">
            <v>-5.5650000000000001E-6</v>
          </cell>
          <cell r="B414">
            <v>-3.4518843866000001E-2</v>
          </cell>
        </row>
        <row r="415">
          <cell r="A415">
            <v>-5.5600000000000001E-6</v>
          </cell>
          <cell r="B415">
            <v>-3.2910803682000001E-2</v>
          </cell>
        </row>
        <row r="416">
          <cell r="A416">
            <v>-5.5550000000000002E-6</v>
          </cell>
          <cell r="B416">
            <v>-3.5322863958000002E-2</v>
          </cell>
        </row>
        <row r="417">
          <cell r="A417">
            <v>-5.5500000000000002E-6</v>
          </cell>
          <cell r="B417">
            <v>-3.3714823774000001E-2</v>
          </cell>
        </row>
        <row r="418">
          <cell r="A418">
            <v>-5.5450000000000003E-6</v>
          </cell>
          <cell r="B418">
            <v>-3.6126884050000002E-2</v>
          </cell>
        </row>
        <row r="419">
          <cell r="A419">
            <v>-5.5400000000000003E-6</v>
          </cell>
          <cell r="B419">
            <v>-3.2910803682000001E-2</v>
          </cell>
        </row>
        <row r="420">
          <cell r="A420">
            <v>-5.5350000000000004E-6</v>
          </cell>
          <cell r="B420">
            <v>-3.4518843866000001E-2</v>
          </cell>
        </row>
        <row r="421">
          <cell r="A421">
            <v>-5.5300000000000004E-6</v>
          </cell>
          <cell r="B421">
            <v>-3.210678359E-2</v>
          </cell>
        </row>
        <row r="422">
          <cell r="A422">
            <v>-5.5249999999999996E-6</v>
          </cell>
          <cell r="B422">
            <v>-3.0498743405999999E-2</v>
          </cell>
        </row>
        <row r="423">
          <cell r="A423">
            <v>-5.5199999999999997E-6</v>
          </cell>
          <cell r="B423">
            <v>-3.210678359E-2</v>
          </cell>
        </row>
        <row r="424">
          <cell r="A424">
            <v>-5.5149999999999997E-6</v>
          </cell>
          <cell r="B424">
            <v>-3.6930904142000003E-2</v>
          </cell>
        </row>
        <row r="425">
          <cell r="A425">
            <v>-5.5099999999999998E-6</v>
          </cell>
          <cell r="B425">
            <v>-2.9694723315000001E-2</v>
          </cell>
        </row>
        <row r="426">
          <cell r="A426">
            <v>-5.5049999999999998E-6</v>
          </cell>
          <cell r="B426">
            <v>-3.5322863958000002E-2</v>
          </cell>
        </row>
        <row r="427">
          <cell r="A427">
            <v>-5.4999999999999999E-6</v>
          </cell>
          <cell r="B427">
            <v>-3.1302763498E-2</v>
          </cell>
        </row>
        <row r="428">
          <cell r="A428">
            <v>-5.4949999999999999E-6</v>
          </cell>
          <cell r="B428">
            <v>-3.6930904142000003E-2</v>
          </cell>
        </row>
        <row r="429">
          <cell r="A429">
            <v>-5.49E-6</v>
          </cell>
          <cell r="B429">
            <v>-3.2910803682000001E-2</v>
          </cell>
        </row>
        <row r="430">
          <cell r="A430">
            <v>-5.485E-6</v>
          </cell>
          <cell r="B430">
            <v>-3.6126884050000002E-2</v>
          </cell>
        </row>
        <row r="431">
          <cell r="A431">
            <v>-5.48E-6</v>
          </cell>
          <cell r="B431">
            <v>-3.2910803682000001E-2</v>
          </cell>
        </row>
        <row r="432">
          <cell r="A432">
            <v>-5.4750000000000001E-6</v>
          </cell>
          <cell r="B432">
            <v>-3.2910803682000001E-2</v>
          </cell>
        </row>
        <row r="433">
          <cell r="A433">
            <v>-5.4700000000000001E-6</v>
          </cell>
          <cell r="B433">
            <v>-3.4518843866000001E-2</v>
          </cell>
        </row>
        <row r="434">
          <cell r="A434">
            <v>-5.4650000000000002E-6</v>
          </cell>
          <cell r="B434">
            <v>-3.210678359E-2</v>
          </cell>
        </row>
        <row r="435">
          <cell r="A435">
            <v>-5.4600000000000002E-6</v>
          </cell>
          <cell r="B435">
            <v>-3.3714823774000001E-2</v>
          </cell>
        </row>
        <row r="436">
          <cell r="A436">
            <v>-5.4550000000000003E-6</v>
          </cell>
          <cell r="B436">
            <v>-3.210678359E-2</v>
          </cell>
        </row>
        <row r="437">
          <cell r="A437">
            <v>-5.4500000000000003E-6</v>
          </cell>
          <cell r="B437">
            <v>-3.210678359E-2</v>
          </cell>
        </row>
        <row r="438">
          <cell r="A438">
            <v>-5.4450000000000004E-6</v>
          </cell>
          <cell r="B438">
            <v>-3.3714823774000001E-2</v>
          </cell>
        </row>
        <row r="439">
          <cell r="A439">
            <v>-5.4399999999999996E-6</v>
          </cell>
          <cell r="B439">
            <v>-3.3714823774000001E-2</v>
          </cell>
        </row>
        <row r="440">
          <cell r="A440">
            <v>-5.4349999999999996E-6</v>
          </cell>
          <cell r="B440">
            <v>-3.3714823774000001E-2</v>
          </cell>
        </row>
        <row r="441">
          <cell r="A441">
            <v>-5.4299999999999997E-6</v>
          </cell>
          <cell r="B441">
            <v>-3.2910803682000001E-2</v>
          </cell>
        </row>
        <row r="442">
          <cell r="A442">
            <v>-5.4249999999999997E-6</v>
          </cell>
          <cell r="B442">
            <v>-3.2910803682000001E-2</v>
          </cell>
        </row>
        <row r="443">
          <cell r="A443">
            <v>-5.4199999999999998E-6</v>
          </cell>
          <cell r="B443">
            <v>-3.7734924232999997E-2</v>
          </cell>
        </row>
        <row r="444">
          <cell r="A444">
            <v>-5.4149999999999998E-6</v>
          </cell>
          <cell r="B444">
            <v>-3.2910803682000001E-2</v>
          </cell>
        </row>
        <row r="445">
          <cell r="A445">
            <v>-5.4099999999999999E-6</v>
          </cell>
          <cell r="B445">
            <v>-3.210678359E-2</v>
          </cell>
        </row>
        <row r="446">
          <cell r="A446">
            <v>-5.4049999999999999E-6</v>
          </cell>
          <cell r="B446">
            <v>-3.210678359E-2</v>
          </cell>
        </row>
        <row r="447">
          <cell r="A447">
            <v>-5.4E-6</v>
          </cell>
          <cell r="B447">
            <v>-3.2910803682000001E-2</v>
          </cell>
        </row>
        <row r="448">
          <cell r="A448">
            <v>-5.395E-6</v>
          </cell>
          <cell r="B448">
            <v>-3.4518843866000001E-2</v>
          </cell>
        </row>
        <row r="449">
          <cell r="A449">
            <v>-5.3900000000000001E-6</v>
          </cell>
          <cell r="B449">
            <v>-3.2910803682000001E-2</v>
          </cell>
        </row>
        <row r="450">
          <cell r="A450">
            <v>-5.3850000000000001E-6</v>
          </cell>
          <cell r="B450">
            <v>-3.4518843866000001E-2</v>
          </cell>
        </row>
        <row r="451">
          <cell r="A451">
            <v>-5.3800000000000002E-6</v>
          </cell>
          <cell r="B451">
            <v>-3.210678359E-2</v>
          </cell>
        </row>
        <row r="452">
          <cell r="A452">
            <v>-5.3750000000000002E-6</v>
          </cell>
          <cell r="B452">
            <v>-3.2910803682000001E-2</v>
          </cell>
        </row>
        <row r="453">
          <cell r="A453">
            <v>-5.3700000000000003E-6</v>
          </cell>
          <cell r="B453">
            <v>-3.0498743405999999E-2</v>
          </cell>
        </row>
        <row r="454">
          <cell r="A454">
            <v>-5.3650000000000003E-6</v>
          </cell>
          <cell r="B454">
            <v>-3.4518843866000001E-2</v>
          </cell>
        </row>
        <row r="455">
          <cell r="A455">
            <v>-5.3600000000000004E-6</v>
          </cell>
          <cell r="B455">
            <v>-3.3714823774000001E-2</v>
          </cell>
        </row>
        <row r="456">
          <cell r="A456">
            <v>-5.3550000000000004E-6</v>
          </cell>
          <cell r="B456">
            <v>-3.3714823774000001E-2</v>
          </cell>
        </row>
        <row r="457">
          <cell r="A457">
            <v>-5.3499999999999996E-6</v>
          </cell>
          <cell r="B457">
            <v>-3.6930904142000003E-2</v>
          </cell>
        </row>
        <row r="458">
          <cell r="A458">
            <v>-5.3449999999999996E-6</v>
          </cell>
          <cell r="B458">
            <v>-3.3714823774000001E-2</v>
          </cell>
        </row>
        <row r="459">
          <cell r="A459">
            <v>-5.3399999999999997E-6</v>
          </cell>
          <cell r="B459">
            <v>-3.2910803682000001E-2</v>
          </cell>
        </row>
        <row r="460">
          <cell r="A460">
            <v>-5.3349999999999997E-6</v>
          </cell>
          <cell r="B460">
            <v>-3.6126884050000002E-2</v>
          </cell>
        </row>
        <row r="461">
          <cell r="A461">
            <v>-5.3299999999999998E-6</v>
          </cell>
          <cell r="B461">
            <v>-3.5322863958000002E-2</v>
          </cell>
        </row>
        <row r="462">
          <cell r="A462">
            <v>-5.3249999999999998E-6</v>
          </cell>
          <cell r="B462">
            <v>-3.4518843866000001E-2</v>
          </cell>
        </row>
        <row r="463">
          <cell r="A463">
            <v>-5.3199999999999999E-6</v>
          </cell>
          <cell r="B463">
            <v>-3.7734924232999997E-2</v>
          </cell>
        </row>
        <row r="464">
          <cell r="A464">
            <v>-5.3149999999999999E-6</v>
          </cell>
          <cell r="B464">
            <v>-3.210678359E-2</v>
          </cell>
        </row>
        <row r="465">
          <cell r="A465">
            <v>-5.31E-6</v>
          </cell>
          <cell r="B465">
            <v>-3.8538944324999998E-2</v>
          </cell>
        </row>
        <row r="466">
          <cell r="A466">
            <v>-5.305E-6</v>
          </cell>
          <cell r="B466">
            <v>-3.1302763498E-2</v>
          </cell>
        </row>
        <row r="467">
          <cell r="A467">
            <v>-5.3000000000000001E-6</v>
          </cell>
          <cell r="B467">
            <v>-3.5322863958000002E-2</v>
          </cell>
        </row>
        <row r="468">
          <cell r="A468">
            <v>-5.2950000000000001E-6</v>
          </cell>
          <cell r="B468">
            <v>-3.2910803682000001E-2</v>
          </cell>
        </row>
        <row r="469">
          <cell r="A469">
            <v>-5.2900000000000002E-6</v>
          </cell>
          <cell r="B469">
            <v>-3.2910803682000001E-2</v>
          </cell>
        </row>
        <row r="470">
          <cell r="A470">
            <v>-5.2850000000000002E-6</v>
          </cell>
          <cell r="B470">
            <v>-3.2910803682000001E-2</v>
          </cell>
        </row>
        <row r="471">
          <cell r="A471">
            <v>-5.2800000000000003E-6</v>
          </cell>
          <cell r="B471">
            <v>-3.210678359E-2</v>
          </cell>
        </row>
        <row r="472">
          <cell r="A472">
            <v>-5.2750000000000003E-6</v>
          </cell>
          <cell r="B472">
            <v>-3.5322863958000002E-2</v>
          </cell>
        </row>
        <row r="473">
          <cell r="A473">
            <v>-5.2700000000000004E-6</v>
          </cell>
          <cell r="B473">
            <v>-3.3714823774000001E-2</v>
          </cell>
        </row>
        <row r="474">
          <cell r="A474">
            <v>-5.2650000000000004E-6</v>
          </cell>
          <cell r="B474">
            <v>-3.5322863958000002E-2</v>
          </cell>
        </row>
        <row r="475">
          <cell r="A475">
            <v>-5.2599999999999996E-6</v>
          </cell>
          <cell r="B475">
            <v>-3.0498743407000001E-2</v>
          </cell>
        </row>
        <row r="476">
          <cell r="A476">
            <v>-5.2549999999999997E-6</v>
          </cell>
          <cell r="B476">
            <v>-3.7734924232999997E-2</v>
          </cell>
        </row>
        <row r="477">
          <cell r="A477">
            <v>-5.2499999999999997E-6</v>
          </cell>
          <cell r="B477">
            <v>-3.210678359E-2</v>
          </cell>
        </row>
        <row r="478">
          <cell r="A478">
            <v>-5.2449999999999998E-6</v>
          </cell>
          <cell r="B478">
            <v>-3.4518843866000001E-2</v>
          </cell>
        </row>
        <row r="479">
          <cell r="A479">
            <v>-5.2399999999999998E-6</v>
          </cell>
          <cell r="B479">
            <v>-3.5322863958000002E-2</v>
          </cell>
        </row>
        <row r="480">
          <cell r="A480">
            <v>-5.2349999999999999E-6</v>
          </cell>
          <cell r="B480">
            <v>-3.5322863958000002E-2</v>
          </cell>
        </row>
        <row r="481">
          <cell r="A481">
            <v>-5.2299999999999999E-6</v>
          </cell>
          <cell r="B481">
            <v>-3.210678359E-2</v>
          </cell>
        </row>
        <row r="482">
          <cell r="A482">
            <v>-5.2249999999999999E-6</v>
          </cell>
          <cell r="B482">
            <v>-3.2910803682000001E-2</v>
          </cell>
        </row>
        <row r="483">
          <cell r="A483">
            <v>-5.22E-6</v>
          </cell>
          <cell r="B483">
            <v>-3.3714823774000001E-2</v>
          </cell>
        </row>
        <row r="484">
          <cell r="A484">
            <v>-5.215E-6</v>
          </cell>
          <cell r="B484">
            <v>-3.6930904142000003E-2</v>
          </cell>
        </row>
        <row r="485">
          <cell r="A485">
            <v>-5.2100000000000001E-6</v>
          </cell>
          <cell r="B485">
            <v>-3.210678359E-2</v>
          </cell>
        </row>
        <row r="486">
          <cell r="A486">
            <v>-5.2050000000000001E-6</v>
          </cell>
          <cell r="B486">
            <v>-3.1302763498E-2</v>
          </cell>
        </row>
        <row r="487">
          <cell r="A487">
            <v>-5.2000000000000002E-6</v>
          </cell>
          <cell r="B487">
            <v>-3.3714823774000001E-2</v>
          </cell>
        </row>
        <row r="488">
          <cell r="A488">
            <v>-5.1950000000000002E-6</v>
          </cell>
          <cell r="B488">
            <v>-3.210678359E-2</v>
          </cell>
        </row>
        <row r="489">
          <cell r="A489">
            <v>-5.1900000000000003E-6</v>
          </cell>
          <cell r="B489">
            <v>-3.2910803682000001E-2</v>
          </cell>
        </row>
        <row r="490">
          <cell r="A490">
            <v>-5.1850000000000003E-6</v>
          </cell>
          <cell r="B490">
            <v>-3.3714823774000001E-2</v>
          </cell>
        </row>
        <row r="491">
          <cell r="A491">
            <v>-5.1800000000000004E-6</v>
          </cell>
          <cell r="B491">
            <v>-3.4518843866000001E-2</v>
          </cell>
        </row>
        <row r="492">
          <cell r="A492">
            <v>-5.1749999999999996E-6</v>
          </cell>
          <cell r="B492">
            <v>-3.4518843866000001E-2</v>
          </cell>
        </row>
        <row r="493">
          <cell r="A493">
            <v>-5.1699999999999996E-6</v>
          </cell>
          <cell r="B493">
            <v>-3.3714823774000001E-2</v>
          </cell>
        </row>
        <row r="494">
          <cell r="A494">
            <v>-5.1649999999999997E-6</v>
          </cell>
          <cell r="B494">
            <v>-3.3714823774000001E-2</v>
          </cell>
        </row>
        <row r="495">
          <cell r="A495">
            <v>-5.1599999999999997E-6</v>
          </cell>
          <cell r="B495">
            <v>-3.5322863958000002E-2</v>
          </cell>
        </row>
        <row r="496">
          <cell r="A496">
            <v>-5.1549999999999998E-6</v>
          </cell>
          <cell r="B496">
            <v>-3.5322863958000002E-2</v>
          </cell>
        </row>
        <row r="497">
          <cell r="A497">
            <v>-5.1499999999999998E-6</v>
          </cell>
          <cell r="B497">
            <v>-3.8538944324999998E-2</v>
          </cell>
        </row>
        <row r="498">
          <cell r="A498">
            <v>-5.1449999999999999E-6</v>
          </cell>
          <cell r="B498">
            <v>-3.4518843866000001E-2</v>
          </cell>
        </row>
        <row r="499">
          <cell r="A499">
            <v>-5.1399999999999999E-6</v>
          </cell>
          <cell r="B499">
            <v>-3.4518843866000001E-2</v>
          </cell>
        </row>
        <row r="500">
          <cell r="A500">
            <v>-5.135E-6</v>
          </cell>
          <cell r="B500">
            <v>-3.6126884050000002E-2</v>
          </cell>
        </row>
        <row r="501">
          <cell r="A501">
            <v>-5.13E-6</v>
          </cell>
          <cell r="B501">
            <v>-3.4518843866000001E-2</v>
          </cell>
        </row>
        <row r="502">
          <cell r="A502">
            <v>-5.1250000000000001E-6</v>
          </cell>
          <cell r="B502">
            <v>-3.4518843866000001E-2</v>
          </cell>
        </row>
        <row r="503">
          <cell r="A503">
            <v>-5.1200000000000001E-6</v>
          </cell>
          <cell r="B503">
            <v>-3.4518843866000001E-2</v>
          </cell>
        </row>
        <row r="504">
          <cell r="A504">
            <v>-5.1150000000000002E-6</v>
          </cell>
          <cell r="B504">
            <v>-3.6930904142000003E-2</v>
          </cell>
        </row>
        <row r="505">
          <cell r="A505">
            <v>-5.1100000000000002E-6</v>
          </cell>
          <cell r="B505">
            <v>-3.6126884050000002E-2</v>
          </cell>
        </row>
        <row r="506">
          <cell r="A506">
            <v>-5.1050000000000003E-6</v>
          </cell>
          <cell r="B506">
            <v>-3.4518843866000001E-2</v>
          </cell>
        </row>
        <row r="507">
          <cell r="A507">
            <v>-5.1000000000000003E-6</v>
          </cell>
          <cell r="B507">
            <v>-3.4518843866000001E-2</v>
          </cell>
        </row>
        <row r="508">
          <cell r="A508">
            <v>-5.0950000000000003E-6</v>
          </cell>
          <cell r="B508">
            <v>-3.3714823774000001E-2</v>
          </cell>
        </row>
        <row r="509">
          <cell r="A509">
            <v>-5.0900000000000004E-6</v>
          </cell>
          <cell r="B509">
            <v>-3.2910803682000001E-2</v>
          </cell>
        </row>
        <row r="510">
          <cell r="A510">
            <v>-5.0849999999999996E-6</v>
          </cell>
          <cell r="B510">
            <v>-3.2910803682000001E-2</v>
          </cell>
        </row>
        <row r="511">
          <cell r="A511">
            <v>-5.0799999999999996E-6</v>
          </cell>
          <cell r="B511">
            <v>-3.210678359E-2</v>
          </cell>
        </row>
        <row r="512">
          <cell r="A512">
            <v>-5.0749999999999997E-6</v>
          </cell>
          <cell r="B512">
            <v>-3.2910803682000001E-2</v>
          </cell>
        </row>
        <row r="513">
          <cell r="A513">
            <v>-5.0699999999999997E-6</v>
          </cell>
          <cell r="B513">
            <v>-3.3714823774000001E-2</v>
          </cell>
        </row>
        <row r="514">
          <cell r="A514">
            <v>-5.0649999999999998E-6</v>
          </cell>
          <cell r="B514">
            <v>-3.6126884050000002E-2</v>
          </cell>
        </row>
        <row r="515">
          <cell r="A515">
            <v>-5.0599999999999998E-6</v>
          </cell>
          <cell r="B515">
            <v>-3.5322863958000002E-2</v>
          </cell>
        </row>
        <row r="516">
          <cell r="A516">
            <v>-5.0549999999999999E-6</v>
          </cell>
          <cell r="B516">
            <v>-3.4518843866000001E-2</v>
          </cell>
        </row>
        <row r="517">
          <cell r="A517">
            <v>-5.0499999999999999E-6</v>
          </cell>
          <cell r="B517">
            <v>-3.5322863958000002E-2</v>
          </cell>
        </row>
        <row r="518">
          <cell r="A518">
            <v>-5.045E-6</v>
          </cell>
          <cell r="B518">
            <v>-3.5322863958000002E-2</v>
          </cell>
        </row>
        <row r="519">
          <cell r="A519">
            <v>-5.04E-6</v>
          </cell>
          <cell r="B519">
            <v>-3.2910803682000001E-2</v>
          </cell>
        </row>
        <row r="520">
          <cell r="A520">
            <v>-5.0350000000000001E-6</v>
          </cell>
          <cell r="B520">
            <v>-3.3714823774000001E-2</v>
          </cell>
        </row>
        <row r="521">
          <cell r="A521">
            <v>-5.0300000000000001E-6</v>
          </cell>
          <cell r="B521">
            <v>-3.6930904142000003E-2</v>
          </cell>
        </row>
        <row r="522">
          <cell r="A522">
            <v>-5.0250000000000002E-6</v>
          </cell>
          <cell r="B522">
            <v>-3.4518843866000001E-2</v>
          </cell>
        </row>
        <row r="523">
          <cell r="A523">
            <v>-5.0200000000000002E-6</v>
          </cell>
          <cell r="B523">
            <v>-3.6930904142000003E-2</v>
          </cell>
        </row>
        <row r="524">
          <cell r="A524">
            <v>-5.0150000000000003E-6</v>
          </cell>
          <cell r="B524">
            <v>-3.2910803682000001E-2</v>
          </cell>
        </row>
        <row r="525">
          <cell r="A525">
            <v>-5.0100000000000003E-6</v>
          </cell>
          <cell r="B525">
            <v>-3.5322863958000002E-2</v>
          </cell>
        </row>
        <row r="526">
          <cell r="A526">
            <v>-5.0050000000000004E-6</v>
          </cell>
          <cell r="B526">
            <v>-3.6930904142000003E-2</v>
          </cell>
        </row>
        <row r="527">
          <cell r="A527">
            <v>-5.0000000000000004E-6</v>
          </cell>
          <cell r="B527">
            <v>-3.210678359E-2</v>
          </cell>
        </row>
        <row r="528">
          <cell r="A528">
            <v>-4.9949999999999996E-6</v>
          </cell>
          <cell r="B528">
            <v>-3.3714823774000001E-2</v>
          </cell>
        </row>
        <row r="529">
          <cell r="A529">
            <v>-4.9899999999999997E-6</v>
          </cell>
          <cell r="B529">
            <v>-3.4518843866000001E-2</v>
          </cell>
        </row>
        <row r="530">
          <cell r="A530">
            <v>-4.9849999999999997E-6</v>
          </cell>
          <cell r="B530">
            <v>-3.4518843866000001E-2</v>
          </cell>
        </row>
        <row r="531">
          <cell r="A531">
            <v>-4.9799999999999998E-6</v>
          </cell>
          <cell r="B531">
            <v>-3.1302763498E-2</v>
          </cell>
        </row>
        <row r="532">
          <cell r="A532">
            <v>-4.9749999999999998E-6</v>
          </cell>
          <cell r="B532">
            <v>-3.6930904142000003E-2</v>
          </cell>
        </row>
        <row r="533">
          <cell r="A533">
            <v>-4.9699999999999998E-6</v>
          </cell>
          <cell r="B533">
            <v>-3.2910803682000001E-2</v>
          </cell>
        </row>
        <row r="534">
          <cell r="A534">
            <v>-4.9649999999999999E-6</v>
          </cell>
          <cell r="B534">
            <v>-3.3714823774000001E-2</v>
          </cell>
        </row>
        <row r="535">
          <cell r="A535">
            <v>-4.9599999999999999E-6</v>
          </cell>
          <cell r="B535">
            <v>-3.210678359E-2</v>
          </cell>
        </row>
        <row r="536">
          <cell r="A536">
            <v>-4.955E-6</v>
          </cell>
          <cell r="B536">
            <v>-3.5322863958000002E-2</v>
          </cell>
        </row>
        <row r="537">
          <cell r="A537">
            <v>-4.95E-6</v>
          </cell>
          <cell r="B537">
            <v>-3.3714823774000001E-2</v>
          </cell>
        </row>
        <row r="538">
          <cell r="A538">
            <v>-4.9450000000000001E-6</v>
          </cell>
          <cell r="B538">
            <v>-3.5322863958000002E-2</v>
          </cell>
        </row>
        <row r="539">
          <cell r="A539">
            <v>-4.9400000000000001E-6</v>
          </cell>
          <cell r="B539">
            <v>-3.4518843866000001E-2</v>
          </cell>
        </row>
        <row r="540">
          <cell r="A540">
            <v>-4.9350000000000002E-6</v>
          </cell>
          <cell r="B540">
            <v>-3.2910803682000001E-2</v>
          </cell>
        </row>
        <row r="541">
          <cell r="A541">
            <v>-4.9300000000000002E-6</v>
          </cell>
          <cell r="B541">
            <v>-3.5322863958000002E-2</v>
          </cell>
        </row>
        <row r="542">
          <cell r="A542">
            <v>-4.9250000000000003E-6</v>
          </cell>
          <cell r="B542">
            <v>-3.2910803682000001E-2</v>
          </cell>
        </row>
        <row r="543">
          <cell r="A543">
            <v>-4.9200000000000003E-6</v>
          </cell>
          <cell r="B543">
            <v>-3.3714823774000001E-2</v>
          </cell>
        </row>
        <row r="544">
          <cell r="A544">
            <v>-4.9150000000000004E-6</v>
          </cell>
          <cell r="B544">
            <v>-3.2910803682000001E-2</v>
          </cell>
        </row>
        <row r="545">
          <cell r="A545">
            <v>-4.9100000000000004E-6</v>
          </cell>
          <cell r="B545">
            <v>-3.6930904142000003E-2</v>
          </cell>
        </row>
        <row r="546">
          <cell r="A546">
            <v>-4.9049999999999996E-6</v>
          </cell>
          <cell r="B546">
            <v>-3.1302763498E-2</v>
          </cell>
        </row>
        <row r="547">
          <cell r="A547">
            <v>-4.8999999999999997E-6</v>
          </cell>
          <cell r="B547">
            <v>-3.1302763498E-2</v>
          </cell>
        </row>
        <row r="548">
          <cell r="A548">
            <v>-4.8949999999999997E-6</v>
          </cell>
          <cell r="B548">
            <v>-3.4518843866000001E-2</v>
          </cell>
        </row>
        <row r="549">
          <cell r="A549">
            <v>-4.8899999999999998E-6</v>
          </cell>
          <cell r="B549">
            <v>-3.4518843866000001E-2</v>
          </cell>
        </row>
        <row r="550">
          <cell r="A550">
            <v>-4.8849999999999998E-6</v>
          </cell>
          <cell r="B550">
            <v>-3.2910803682000001E-2</v>
          </cell>
        </row>
        <row r="551">
          <cell r="A551">
            <v>-4.8799999999999999E-6</v>
          </cell>
          <cell r="B551">
            <v>-3.5322863958000002E-2</v>
          </cell>
        </row>
        <row r="552">
          <cell r="A552">
            <v>-4.8749999999999999E-6</v>
          </cell>
          <cell r="B552">
            <v>-3.3714823774000001E-2</v>
          </cell>
        </row>
        <row r="553">
          <cell r="A553">
            <v>-4.87E-6</v>
          </cell>
          <cell r="B553">
            <v>-3.3714823774000001E-2</v>
          </cell>
        </row>
        <row r="554">
          <cell r="A554">
            <v>-4.865E-6</v>
          </cell>
          <cell r="B554">
            <v>-3.210678359E-2</v>
          </cell>
        </row>
        <row r="555">
          <cell r="A555">
            <v>-4.8600000000000001E-6</v>
          </cell>
          <cell r="B555">
            <v>-3.4518843866000001E-2</v>
          </cell>
        </row>
        <row r="556">
          <cell r="A556">
            <v>-4.8550000000000001E-6</v>
          </cell>
          <cell r="B556">
            <v>-3.2910803682000001E-2</v>
          </cell>
        </row>
        <row r="557">
          <cell r="A557">
            <v>-4.8500000000000002E-6</v>
          </cell>
          <cell r="B557">
            <v>-3.210678359E-2</v>
          </cell>
        </row>
        <row r="558">
          <cell r="A558">
            <v>-4.8450000000000002E-6</v>
          </cell>
          <cell r="B558">
            <v>-3.210678359E-2</v>
          </cell>
        </row>
        <row r="559">
          <cell r="A559">
            <v>-4.8400000000000002E-6</v>
          </cell>
          <cell r="B559">
            <v>-2.8890703223000001E-2</v>
          </cell>
        </row>
        <row r="560">
          <cell r="A560">
            <v>-4.8350000000000003E-6</v>
          </cell>
          <cell r="B560">
            <v>-3.1302763498E-2</v>
          </cell>
        </row>
        <row r="561">
          <cell r="A561">
            <v>-4.8300000000000003E-6</v>
          </cell>
          <cell r="B561">
            <v>-2.8086683131E-2</v>
          </cell>
        </row>
        <row r="562">
          <cell r="A562">
            <v>-4.8250000000000004E-6</v>
          </cell>
          <cell r="B562">
            <v>-2.8890703223000001E-2</v>
          </cell>
        </row>
        <row r="563">
          <cell r="A563">
            <v>-4.8199999999999996E-6</v>
          </cell>
          <cell r="B563">
            <v>-2.6478642946999999E-2</v>
          </cell>
        </row>
        <row r="564">
          <cell r="A564">
            <v>-4.8149999999999996E-6</v>
          </cell>
          <cell r="B564">
            <v>-2.326256258E-2</v>
          </cell>
        </row>
        <row r="565">
          <cell r="A565">
            <v>-4.8099999999999997E-6</v>
          </cell>
          <cell r="B565">
            <v>-1.8438442028000001E-2</v>
          </cell>
        </row>
        <row r="566">
          <cell r="A566">
            <v>-4.8049999999999997E-6</v>
          </cell>
          <cell r="B566">
            <v>-1.9242462120000001E-2</v>
          </cell>
        </row>
        <row r="567">
          <cell r="A567">
            <v>-4.7999999999999998E-6</v>
          </cell>
          <cell r="B567">
            <v>-2.0850502303999999E-2</v>
          </cell>
        </row>
        <row r="568">
          <cell r="A568">
            <v>-4.7949999999999998E-6</v>
          </cell>
          <cell r="B568">
            <v>-1.6830401844E-2</v>
          </cell>
        </row>
        <row r="569">
          <cell r="A569">
            <v>-4.7899999999999999E-6</v>
          </cell>
          <cell r="B569">
            <v>-1.6026381752E-2</v>
          </cell>
        </row>
        <row r="570">
          <cell r="A570">
            <v>-4.7849999999999999E-6</v>
          </cell>
          <cell r="B570">
            <v>-1.2810301385E-2</v>
          </cell>
        </row>
        <row r="571">
          <cell r="A571">
            <v>-4.78E-6</v>
          </cell>
          <cell r="B571">
            <v>-1.0398241109000001E-2</v>
          </cell>
        </row>
        <row r="572">
          <cell r="A572">
            <v>-4.775E-6</v>
          </cell>
          <cell r="B572">
            <v>-4.7701004660000001E-3</v>
          </cell>
        </row>
        <row r="573">
          <cell r="A573">
            <v>-4.7700000000000001E-6</v>
          </cell>
          <cell r="B573">
            <v>-7.1821607419999996E-3</v>
          </cell>
        </row>
        <row r="574">
          <cell r="A574">
            <v>-4.7650000000000001E-6</v>
          </cell>
          <cell r="B574">
            <v>-3.1620602820000001E-3</v>
          </cell>
        </row>
        <row r="575">
          <cell r="A575">
            <v>-4.7600000000000002E-6</v>
          </cell>
          <cell r="B575">
            <v>-2.3580401900000002E-3</v>
          </cell>
        </row>
        <row r="576">
          <cell r="A576">
            <v>-4.7550000000000002E-6</v>
          </cell>
          <cell r="B576">
            <v>-7.5000000699999999E-4</v>
          </cell>
        </row>
        <row r="577">
          <cell r="A577">
            <v>-4.7500000000000003E-6</v>
          </cell>
          <cell r="B577">
            <v>8.5804017699999996E-4</v>
          </cell>
        </row>
        <row r="578">
          <cell r="A578">
            <v>-4.7450000000000003E-6</v>
          </cell>
          <cell r="B578">
            <v>2.4660803610000001E-3</v>
          </cell>
        </row>
        <row r="579">
          <cell r="A579">
            <v>-4.7400000000000004E-6</v>
          </cell>
          <cell r="B579">
            <v>7.290200912E-3</v>
          </cell>
        </row>
        <row r="580">
          <cell r="A580">
            <v>-4.7350000000000004E-6</v>
          </cell>
          <cell r="B580">
            <v>7.290200912E-3</v>
          </cell>
        </row>
        <row r="581">
          <cell r="A581">
            <v>-4.7299999999999996E-6</v>
          </cell>
          <cell r="B581">
            <v>9.7022611879999995E-3</v>
          </cell>
        </row>
        <row r="582">
          <cell r="A582">
            <v>-4.7249999999999997E-6</v>
          </cell>
          <cell r="B582">
            <v>9.7022611879999995E-3</v>
          </cell>
        </row>
        <row r="583">
          <cell r="A583">
            <v>-4.7199999999999997E-6</v>
          </cell>
          <cell r="B583">
            <v>1.2114321464000001E-2</v>
          </cell>
        </row>
        <row r="584">
          <cell r="A584">
            <v>-4.7149999999999997E-6</v>
          </cell>
          <cell r="B584">
            <v>1.5330401831E-2</v>
          </cell>
        </row>
        <row r="585">
          <cell r="A585">
            <v>-4.7099999999999998E-6</v>
          </cell>
          <cell r="B585">
            <v>1.3722361648E-2</v>
          </cell>
        </row>
        <row r="586">
          <cell r="A586">
            <v>-4.7049999999999998E-6</v>
          </cell>
          <cell r="B586">
            <v>1.6938442014999999E-2</v>
          </cell>
        </row>
        <row r="587">
          <cell r="A587">
            <v>-4.6999999999999999E-6</v>
          </cell>
          <cell r="B587">
            <v>1.6938442014999999E-2</v>
          </cell>
        </row>
        <row r="588">
          <cell r="A588">
            <v>-4.6949999999999999E-6</v>
          </cell>
          <cell r="B588">
            <v>1.9350502291E-2</v>
          </cell>
        </row>
        <row r="589">
          <cell r="A589">
            <v>-4.69E-6</v>
          </cell>
          <cell r="B589">
            <v>1.5330401831E-2</v>
          </cell>
        </row>
        <row r="590">
          <cell r="A590">
            <v>-4.685E-6</v>
          </cell>
          <cell r="B590">
            <v>1.8546482199E-2</v>
          </cell>
        </row>
        <row r="591">
          <cell r="A591">
            <v>-4.6800000000000001E-6</v>
          </cell>
          <cell r="B591">
            <v>1.6938442014999999E-2</v>
          </cell>
        </row>
        <row r="592">
          <cell r="A592">
            <v>-4.6750000000000001E-6</v>
          </cell>
          <cell r="B592">
            <v>1.6938442014999999E-2</v>
          </cell>
        </row>
        <row r="593">
          <cell r="A593">
            <v>-4.6700000000000002E-6</v>
          </cell>
          <cell r="B593">
            <v>1.7742462107E-2</v>
          </cell>
        </row>
        <row r="594">
          <cell r="A594">
            <v>-4.6650000000000002E-6</v>
          </cell>
          <cell r="B594">
            <v>1.6134421922999999E-2</v>
          </cell>
        </row>
        <row r="595">
          <cell r="A595">
            <v>-4.6600000000000003E-6</v>
          </cell>
          <cell r="B595">
            <v>1.7742462107E-2</v>
          </cell>
        </row>
        <row r="596">
          <cell r="A596">
            <v>-4.6550000000000003E-6</v>
          </cell>
          <cell r="B596">
            <v>1.6938442014999999E-2</v>
          </cell>
        </row>
        <row r="597">
          <cell r="A597">
            <v>-4.6500000000000004E-6</v>
          </cell>
          <cell r="B597">
            <v>1.3722361648E-2</v>
          </cell>
        </row>
        <row r="598">
          <cell r="A598">
            <v>-4.6450000000000004E-6</v>
          </cell>
          <cell r="B598">
            <v>1.6938442014999999E-2</v>
          </cell>
        </row>
        <row r="599">
          <cell r="A599">
            <v>-4.6399999999999996E-6</v>
          </cell>
          <cell r="B599">
            <v>1.2918341555999999E-2</v>
          </cell>
        </row>
        <row r="600">
          <cell r="A600">
            <v>-4.6349999999999997E-6</v>
          </cell>
          <cell r="B600">
            <v>1.8546482199E-2</v>
          </cell>
        </row>
        <row r="601">
          <cell r="A601">
            <v>-4.6299999999999997E-6</v>
          </cell>
          <cell r="B601">
            <v>1.6134421922999999E-2</v>
          </cell>
        </row>
        <row r="602">
          <cell r="A602">
            <v>-4.6249999999999998E-6</v>
          </cell>
          <cell r="B602">
            <v>1.7742462107E-2</v>
          </cell>
        </row>
        <row r="603">
          <cell r="A603">
            <v>-4.6199999999999998E-6</v>
          </cell>
          <cell r="B603">
            <v>1.2918341555999999E-2</v>
          </cell>
        </row>
        <row r="604">
          <cell r="A604">
            <v>-4.6149999999999999E-6</v>
          </cell>
          <cell r="B604">
            <v>1.3722361648E-2</v>
          </cell>
        </row>
        <row r="605">
          <cell r="A605">
            <v>-4.6099999999999999E-6</v>
          </cell>
          <cell r="B605">
            <v>1.5330401831E-2</v>
          </cell>
        </row>
        <row r="606">
          <cell r="A606">
            <v>-4.605E-6</v>
          </cell>
          <cell r="B606">
            <v>1.7742462107E-2</v>
          </cell>
        </row>
        <row r="607">
          <cell r="A607">
            <v>-4.6E-6</v>
          </cell>
          <cell r="B607">
            <v>1.6938442014999999E-2</v>
          </cell>
        </row>
        <row r="608">
          <cell r="A608">
            <v>-4.5950000000000001E-6</v>
          </cell>
          <cell r="B608">
            <v>1.8546482199E-2</v>
          </cell>
        </row>
        <row r="609">
          <cell r="A609">
            <v>-4.5900000000000001E-6</v>
          </cell>
          <cell r="B609">
            <v>1.3722361648E-2</v>
          </cell>
        </row>
        <row r="610">
          <cell r="A610">
            <v>-4.5850000000000001E-6</v>
          </cell>
          <cell r="B610">
            <v>1.9350502291E-2</v>
          </cell>
        </row>
        <row r="611">
          <cell r="A611">
            <v>-4.5800000000000002E-6</v>
          </cell>
          <cell r="B611">
            <v>1.8546482199E-2</v>
          </cell>
        </row>
        <row r="612">
          <cell r="A612">
            <v>-4.5750000000000002E-6</v>
          </cell>
          <cell r="B612">
            <v>2.0154522383000001E-2</v>
          </cell>
        </row>
        <row r="613">
          <cell r="A613">
            <v>-4.5700000000000003E-6</v>
          </cell>
          <cell r="B613">
            <v>1.9350502291E-2</v>
          </cell>
        </row>
        <row r="614">
          <cell r="A614">
            <v>-4.5650000000000003E-6</v>
          </cell>
          <cell r="B614">
            <v>1.7742462107E-2</v>
          </cell>
        </row>
        <row r="615">
          <cell r="A615">
            <v>-4.5600000000000004E-6</v>
          </cell>
          <cell r="B615">
            <v>2.0958542473999999E-2</v>
          </cell>
        </row>
        <row r="616">
          <cell r="A616">
            <v>-4.5549999999999996E-6</v>
          </cell>
          <cell r="B616">
            <v>2.0958542475000001E-2</v>
          </cell>
        </row>
        <row r="617">
          <cell r="A617">
            <v>-4.5499999999999996E-6</v>
          </cell>
          <cell r="B617">
            <v>2.0958542473999999E-2</v>
          </cell>
        </row>
        <row r="618">
          <cell r="A618">
            <v>-4.5449999999999997E-6</v>
          </cell>
          <cell r="B618">
            <v>2.0154522383000001E-2</v>
          </cell>
        </row>
        <row r="619">
          <cell r="A619">
            <v>-4.5399999999999997E-6</v>
          </cell>
          <cell r="B619">
            <v>2.4978642934000001E-2</v>
          </cell>
        </row>
        <row r="620">
          <cell r="A620">
            <v>-4.5349999999999998E-6</v>
          </cell>
          <cell r="B620">
            <v>2.4174622842000001E-2</v>
          </cell>
        </row>
        <row r="621">
          <cell r="A621">
            <v>-4.5299999999999998E-6</v>
          </cell>
          <cell r="B621">
            <v>1.8546482199E-2</v>
          </cell>
        </row>
        <row r="622">
          <cell r="A622">
            <v>-4.5249999999999999E-6</v>
          </cell>
          <cell r="B622">
            <v>2.2566582658E-2</v>
          </cell>
        </row>
        <row r="623">
          <cell r="A623">
            <v>-4.5199999999999999E-6</v>
          </cell>
          <cell r="B623">
            <v>2.1762562566E-2</v>
          </cell>
        </row>
        <row r="624">
          <cell r="A624">
            <v>-4.515E-6</v>
          </cell>
          <cell r="B624">
            <v>2.337060275E-2</v>
          </cell>
        </row>
        <row r="625">
          <cell r="A625">
            <v>-4.51E-6</v>
          </cell>
          <cell r="B625">
            <v>2.4978642934000001E-2</v>
          </cell>
        </row>
        <row r="626">
          <cell r="A626">
            <v>-4.5050000000000001E-6</v>
          </cell>
          <cell r="B626">
            <v>2.2566582658E-2</v>
          </cell>
        </row>
        <row r="627">
          <cell r="A627">
            <v>-4.5000000000000001E-6</v>
          </cell>
          <cell r="B627">
            <v>2.0958542475000001E-2</v>
          </cell>
        </row>
        <row r="628">
          <cell r="A628">
            <v>-4.4950000000000002E-6</v>
          </cell>
          <cell r="B628">
            <v>2.337060275E-2</v>
          </cell>
        </row>
        <row r="629">
          <cell r="A629">
            <v>-4.4900000000000002E-6</v>
          </cell>
          <cell r="B629">
            <v>2.1762562567000002E-2</v>
          </cell>
        </row>
        <row r="630">
          <cell r="A630">
            <v>-4.4850000000000003E-6</v>
          </cell>
          <cell r="B630">
            <v>2.0154522383000001E-2</v>
          </cell>
        </row>
        <row r="631">
          <cell r="A631">
            <v>-4.4800000000000003E-6</v>
          </cell>
          <cell r="B631">
            <v>2.0958542475000001E-2</v>
          </cell>
        </row>
        <row r="632">
          <cell r="A632">
            <v>-4.4750000000000004E-6</v>
          </cell>
          <cell r="B632">
            <v>2.1762562566E-2</v>
          </cell>
        </row>
        <row r="633">
          <cell r="A633">
            <v>-4.4700000000000004E-6</v>
          </cell>
          <cell r="B633">
            <v>2.4174622842000001E-2</v>
          </cell>
        </row>
        <row r="634">
          <cell r="A634">
            <v>-4.4649999999999996E-6</v>
          </cell>
          <cell r="B634">
            <v>2.337060275E-2</v>
          </cell>
        </row>
        <row r="635">
          <cell r="A635">
            <v>-4.4599999999999996E-6</v>
          </cell>
          <cell r="B635">
            <v>2.337060275E-2</v>
          </cell>
        </row>
        <row r="636">
          <cell r="A636">
            <v>-4.4549999999999997E-6</v>
          </cell>
          <cell r="B636">
            <v>2.1762562566E-2</v>
          </cell>
        </row>
        <row r="637">
          <cell r="A637">
            <v>-4.4499999999999997E-6</v>
          </cell>
          <cell r="B637">
            <v>1.6938442014999999E-2</v>
          </cell>
        </row>
        <row r="638">
          <cell r="A638">
            <v>-4.4449999999999998E-6</v>
          </cell>
          <cell r="B638">
            <v>2.4978642934000001E-2</v>
          </cell>
        </row>
        <row r="639">
          <cell r="A639">
            <v>-4.4399999999999998E-6</v>
          </cell>
          <cell r="B639">
            <v>2.2566582658E-2</v>
          </cell>
        </row>
        <row r="640">
          <cell r="A640">
            <v>-4.4349999999999999E-6</v>
          </cell>
          <cell r="B640">
            <v>2.337060275E-2</v>
          </cell>
        </row>
        <row r="641">
          <cell r="A641">
            <v>-4.4299999999999999E-6</v>
          </cell>
          <cell r="B641">
            <v>2.337060275E-2</v>
          </cell>
        </row>
        <row r="642">
          <cell r="A642">
            <v>-4.425E-6</v>
          </cell>
          <cell r="B642">
            <v>2.1762562566E-2</v>
          </cell>
        </row>
        <row r="643">
          <cell r="A643">
            <v>-4.42E-6</v>
          </cell>
          <cell r="B643">
            <v>2.1762562566E-2</v>
          </cell>
        </row>
        <row r="644">
          <cell r="A644">
            <v>-4.4150000000000001E-6</v>
          </cell>
          <cell r="B644">
            <v>2.5782663026000002E-2</v>
          </cell>
        </row>
        <row r="645">
          <cell r="A645">
            <v>-4.4100000000000001E-6</v>
          </cell>
          <cell r="B645">
            <v>2.337060275E-2</v>
          </cell>
        </row>
        <row r="646">
          <cell r="A646">
            <v>-4.4050000000000002E-6</v>
          </cell>
          <cell r="B646">
            <v>2.5782663026000002E-2</v>
          </cell>
        </row>
        <row r="647">
          <cell r="A647">
            <v>-4.4000000000000002E-6</v>
          </cell>
          <cell r="B647">
            <v>2.5782663026000002E-2</v>
          </cell>
        </row>
        <row r="648">
          <cell r="A648">
            <v>-4.3950000000000003E-6</v>
          </cell>
          <cell r="B648">
            <v>2.5782663026000002E-2</v>
          </cell>
        </row>
        <row r="649">
          <cell r="A649">
            <v>-4.3900000000000003E-6</v>
          </cell>
          <cell r="B649">
            <v>2.1762562566E-2</v>
          </cell>
        </row>
        <row r="650">
          <cell r="A650">
            <v>-4.3850000000000004E-6</v>
          </cell>
          <cell r="B650">
            <v>2.1762562566E-2</v>
          </cell>
        </row>
        <row r="651">
          <cell r="A651">
            <v>-4.3800000000000004E-6</v>
          </cell>
          <cell r="B651">
            <v>2.7390703209999999E-2</v>
          </cell>
        </row>
        <row r="652">
          <cell r="A652">
            <v>-4.3749999999999996E-6</v>
          </cell>
          <cell r="B652">
            <v>2.5782663026000002E-2</v>
          </cell>
        </row>
        <row r="653">
          <cell r="A653">
            <v>-4.3699999999999997E-6</v>
          </cell>
          <cell r="B653">
            <v>2.4174622842000001E-2</v>
          </cell>
        </row>
        <row r="654">
          <cell r="A654">
            <v>-4.3649999999999997E-6</v>
          </cell>
          <cell r="B654">
            <v>2.6586683117999999E-2</v>
          </cell>
        </row>
        <row r="655">
          <cell r="A655">
            <v>-4.3599999999999998E-6</v>
          </cell>
          <cell r="B655">
            <v>2.5782663026000002E-2</v>
          </cell>
        </row>
        <row r="656">
          <cell r="A656">
            <v>-4.3549999999999998E-6</v>
          </cell>
          <cell r="B656">
            <v>2.8194723301000001E-2</v>
          </cell>
        </row>
        <row r="657">
          <cell r="A657">
            <v>-4.3499999999999999E-6</v>
          </cell>
          <cell r="B657">
            <v>2.7390703209999999E-2</v>
          </cell>
        </row>
        <row r="658">
          <cell r="A658">
            <v>-4.3449999999999999E-6</v>
          </cell>
          <cell r="B658">
            <v>2.7390703209999999E-2</v>
          </cell>
        </row>
        <row r="659">
          <cell r="A659">
            <v>-4.34E-6</v>
          </cell>
          <cell r="B659">
            <v>2.9802763485000001E-2</v>
          </cell>
        </row>
        <row r="660">
          <cell r="A660">
            <v>-4.335E-6</v>
          </cell>
          <cell r="B660">
            <v>2.9802763485000001E-2</v>
          </cell>
        </row>
        <row r="661">
          <cell r="A661">
            <v>-4.33E-6</v>
          </cell>
          <cell r="B661">
            <v>2.8194723301999999E-2</v>
          </cell>
        </row>
        <row r="662">
          <cell r="A662">
            <v>-4.3250000000000001E-6</v>
          </cell>
          <cell r="B662">
            <v>2.8998743394E-2</v>
          </cell>
        </row>
        <row r="663">
          <cell r="A663">
            <v>-4.3200000000000001E-6</v>
          </cell>
          <cell r="B663">
            <v>2.8194723301999999E-2</v>
          </cell>
        </row>
        <row r="664">
          <cell r="A664">
            <v>-4.3150000000000002E-6</v>
          </cell>
          <cell r="B664">
            <v>2.8194723301000001E-2</v>
          </cell>
        </row>
        <row r="665">
          <cell r="A665">
            <v>-4.3100000000000002E-6</v>
          </cell>
          <cell r="B665">
            <v>2.8998743393000001E-2</v>
          </cell>
        </row>
        <row r="666">
          <cell r="A666">
            <v>-4.3050000000000003E-6</v>
          </cell>
          <cell r="B666">
            <v>2.8998743393000001E-2</v>
          </cell>
        </row>
        <row r="667">
          <cell r="A667">
            <v>-4.3000000000000003E-6</v>
          </cell>
          <cell r="B667">
            <v>2.8194723301000001E-2</v>
          </cell>
        </row>
        <row r="668">
          <cell r="A668">
            <v>-4.2950000000000004E-6</v>
          </cell>
          <cell r="B668">
            <v>3.0606783576999998E-2</v>
          </cell>
        </row>
        <row r="669">
          <cell r="A669">
            <v>-4.2899999999999996E-6</v>
          </cell>
          <cell r="B669">
            <v>2.8998743393000001E-2</v>
          </cell>
        </row>
        <row r="670">
          <cell r="A670">
            <v>-4.2849999999999996E-6</v>
          </cell>
          <cell r="B670">
            <v>2.7390703209999999E-2</v>
          </cell>
        </row>
        <row r="671">
          <cell r="A671">
            <v>-4.2799999999999997E-6</v>
          </cell>
          <cell r="B671">
            <v>2.9802763485000001E-2</v>
          </cell>
        </row>
        <row r="672">
          <cell r="A672">
            <v>-4.2749999999999997E-6</v>
          </cell>
          <cell r="B672">
            <v>2.4978642934000001E-2</v>
          </cell>
        </row>
        <row r="673">
          <cell r="A673">
            <v>-4.2699999999999998E-6</v>
          </cell>
          <cell r="B673">
            <v>2.6586683117999999E-2</v>
          </cell>
        </row>
        <row r="674">
          <cell r="A674">
            <v>-4.2649999999999998E-6</v>
          </cell>
          <cell r="B674">
            <v>2.8194723301999999E-2</v>
          </cell>
        </row>
        <row r="675">
          <cell r="A675">
            <v>-4.2599999999999999E-6</v>
          </cell>
          <cell r="B675">
            <v>2.8194723301999999E-2</v>
          </cell>
        </row>
        <row r="676">
          <cell r="A676">
            <v>-4.2549999999999999E-6</v>
          </cell>
          <cell r="B676">
            <v>2.8194723301000001E-2</v>
          </cell>
        </row>
        <row r="677">
          <cell r="A677">
            <v>-4.25E-6</v>
          </cell>
          <cell r="B677">
            <v>3.0606783576999998E-2</v>
          </cell>
        </row>
        <row r="678">
          <cell r="A678">
            <v>-4.245E-6</v>
          </cell>
          <cell r="B678">
            <v>2.8998743394E-2</v>
          </cell>
        </row>
        <row r="679">
          <cell r="A679">
            <v>-4.2400000000000001E-6</v>
          </cell>
          <cell r="B679">
            <v>2.7390703209999999E-2</v>
          </cell>
        </row>
        <row r="680">
          <cell r="A680">
            <v>-4.2350000000000001E-6</v>
          </cell>
          <cell r="B680">
            <v>2.9802763485000001E-2</v>
          </cell>
        </row>
        <row r="681">
          <cell r="A681">
            <v>-4.2300000000000002E-6</v>
          </cell>
          <cell r="B681">
            <v>2.7390703209999999E-2</v>
          </cell>
        </row>
        <row r="682">
          <cell r="A682">
            <v>-4.2250000000000002E-6</v>
          </cell>
          <cell r="B682">
            <v>2.8998743393000001E-2</v>
          </cell>
        </row>
        <row r="683">
          <cell r="A683">
            <v>-4.2200000000000003E-6</v>
          </cell>
          <cell r="B683">
            <v>2.9802763485000001E-2</v>
          </cell>
        </row>
        <row r="684">
          <cell r="A684">
            <v>-4.2150000000000003E-6</v>
          </cell>
          <cell r="B684">
            <v>2.6586683117999999E-2</v>
          </cell>
        </row>
        <row r="685">
          <cell r="A685">
            <v>-4.2100000000000003E-6</v>
          </cell>
          <cell r="B685">
            <v>2.8998743394E-2</v>
          </cell>
        </row>
        <row r="686">
          <cell r="A686">
            <v>-4.2050000000000004E-6</v>
          </cell>
          <cell r="B686">
            <v>2.9802763485000001E-2</v>
          </cell>
        </row>
        <row r="687">
          <cell r="A687">
            <v>-4.1999999999999996E-6</v>
          </cell>
          <cell r="B687">
            <v>2.8998743393000001E-2</v>
          </cell>
        </row>
        <row r="688">
          <cell r="A688">
            <v>-4.1949999999999996E-6</v>
          </cell>
          <cell r="B688">
            <v>2.9802763485000001E-2</v>
          </cell>
        </row>
        <row r="689">
          <cell r="A689">
            <v>-4.1899999999999997E-6</v>
          </cell>
          <cell r="B689">
            <v>2.8194723301999999E-2</v>
          </cell>
        </row>
        <row r="690">
          <cell r="A690">
            <v>-4.1849999999999997E-6</v>
          </cell>
          <cell r="B690">
            <v>2.9802763485000001E-2</v>
          </cell>
        </row>
        <row r="691">
          <cell r="A691">
            <v>-4.1799999999999998E-6</v>
          </cell>
          <cell r="B691">
            <v>3.0606783576999998E-2</v>
          </cell>
        </row>
        <row r="692">
          <cell r="A692">
            <v>-4.1749999999999998E-6</v>
          </cell>
          <cell r="B692">
            <v>3.0606783576999998E-2</v>
          </cell>
        </row>
        <row r="693">
          <cell r="A693">
            <v>-4.1699999999999999E-6</v>
          </cell>
          <cell r="B693">
            <v>2.8194723301000001E-2</v>
          </cell>
        </row>
        <row r="694">
          <cell r="A694">
            <v>-4.1649999999999999E-6</v>
          </cell>
          <cell r="B694">
            <v>3.0606783576999998E-2</v>
          </cell>
        </row>
        <row r="695">
          <cell r="A695">
            <v>-4.16E-6</v>
          </cell>
          <cell r="B695">
            <v>2.7390703209999999E-2</v>
          </cell>
        </row>
        <row r="696">
          <cell r="A696">
            <v>-4.155E-6</v>
          </cell>
          <cell r="B696">
            <v>2.8998743393000001E-2</v>
          </cell>
        </row>
        <row r="697">
          <cell r="A697">
            <v>-4.1500000000000001E-6</v>
          </cell>
          <cell r="B697">
            <v>2.6586683117999999E-2</v>
          </cell>
        </row>
        <row r="698">
          <cell r="A698">
            <v>-4.1450000000000001E-6</v>
          </cell>
          <cell r="B698">
            <v>2.9802763485000001E-2</v>
          </cell>
        </row>
        <row r="699">
          <cell r="A699">
            <v>-4.1400000000000002E-6</v>
          </cell>
          <cell r="B699">
            <v>2.8194723301999999E-2</v>
          </cell>
        </row>
        <row r="700">
          <cell r="A700">
            <v>-4.1350000000000002E-6</v>
          </cell>
          <cell r="B700">
            <v>2.8998743393000001E-2</v>
          </cell>
        </row>
        <row r="701">
          <cell r="A701">
            <v>-4.1300000000000003E-6</v>
          </cell>
          <cell r="B701">
            <v>2.8194723301999999E-2</v>
          </cell>
        </row>
        <row r="702">
          <cell r="A702">
            <v>-4.1250000000000003E-6</v>
          </cell>
          <cell r="B702">
            <v>2.9802763485000001E-2</v>
          </cell>
        </row>
        <row r="703">
          <cell r="A703">
            <v>-4.1200000000000004E-6</v>
          </cell>
          <cell r="B703">
            <v>2.5782663026000002E-2</v>
          </cell>
        </row>
        <row r="704">
          <cell r="A704">
            <v>-4.1150000000000004E-6</v>
          </cell>
          <cell r="B704">
            <v>2.9802763485000001E-2</v>
          </cell>
        </row>
        <row r="705">
          <cell r="A705">
            <v>-4.1099999999999996E-6</v>
          </cell>
          <cell r="B705">
            <v>2.8194723301999999E-2</v>
          </cell>
        </row>
        <row r="706">
          <cell r="A706">
            <v>-4.1049999999999997E-6</v>
          </cell>
          <cell r="B706">
            <v>2.9802763485000001E-2</v>
          </cell>
        </row>
        <row r="707">
          <cell r="A707">
            <v>-4.0999999999999997E-6</v>
          </cell>
          <cell r="B707">
            <v>2.7390703209999999E-2</v>
          </cell>
        </row>
        <row r="708">
          <cell r="A708">
            <v>-4.0949999999999998E-6</v>
          </cell>
          <cell r="B708">
            <v>2.8998743393000001E-2</v>
          </cell>
        </row>
        <row r="709">
          <cell r="A709">
            <v>-4.0899999999999998E-6</v>
          </cell>
          <cell r="B709">
            <v>2.8998743393000001E-2</v>
          </cell>
        </row>
        <row r="710">
          <cell r="A710">
            <v>-4.0849999999999999E-6</v>
          </cell>
          <cell r="B710">
            <v>2.8998743394E-2</v>
          </cell>
        </row>
        <row r="711">
          <cell r="A711">
            <v>-4.0799999999999999E-6</v>
          </cell>
          <cell r="B711">
            <v>2.8194723301999999E-2</v>
          </cell>
        </row>
        <row r="712">
          <cell r="A712">
            <v>-4.0749999999999999E-6</v>
          </cell>
          <cell r="B712">
            <v>2.7390703209999999E-2</v>
          </cell>
        </row>
        <row r="713">
          <cell r="A713">
            <v>-4.07E-6</v>
          </cell>
          <cell r="B713">
            <v>2.9802763485000001E-2</v>
          </cell>
        </row>
        <row r="714">
          <cell r="A714">
            <v>-4.065E-6</v>
          </cell>
          <cell r="B714">
            <v>2.7390703209999999E-2</v>
          </cell>
        </row>
        <row r="715">
          <cell r="A715">
            <v>-4.0600000000000001E-6</v>
          </cell>
          <cell r="B715">
            <v>2.7390703209999999E-2</v>
          </cell>
        </row>
        <row r="716">
          <cell r="A716">
            <v>-4.0550000000000001E-6</v>
          </cell>
          <cell r="B716">
            <v>2.8998743393000001E-2</v>
          </cell>
        </row>
        <row r="717">
          <cell r="A717">
            <v>-4.0500000000000002E-6</v>
          </cell>
          <cell r="B717">
            <v>2.9802763485000001E-2</v>
          </cell>
        </row>
        <row r="718">
          <cell r="A718">
            <v>-4.0450000000000002E-6</v>
          </cell>
          <cell r="B718">
            <v>2.7390703209999999E-2</v>
          </cell>
        </row>
        <row r="719">
          <cell r="A719">
            <v>-4.0400000000000003E-6</v>
          </cell>
          <cell r="B719">
            <v>2.7390703209999999E-2</v>
          </cell>
        </row>
        <row r="720">
          <cell r="A720">
            <v>-4.0350000000000003E-6</v>
          </cell>
          <cell r="B720">
            <v>2.8194723301999999E-2</v>
          </cell>
        </row>
        <row r="721">
          <cell r="A721">
            <v>-4.0300000000000004E-6</v>
          </cell>
          <cell r="B721">
            <v>2.9802763485000001E-2</v>
          </cell>
        </row>
        <row r="722">
          <cell r="A722">
            <v>-4.0249999999999996E-6</v>
          </cell>
          <cell r="B722">
            <v>3.1410803669000002E-2</v>
          </cell>
        </row>
        <row r="723">
          <cell r="A723">
            <v>-4.0199999999999996E-6</v>
          </cell>
          <cell r="B723">
            <v>2.9802763485000001E-2</v>
          </cell>
        </row>
        <row r="724">
          <cell r="A724">
            <v>-4.0149999999999997E-6</v>
          </cell>
          <cell r="B724">
            <v>2.8998743393000001E-2</v>
          </cell>
        </row>
        <row r="725">
          <cell r="A725">
            <v>-4.0099999999999997E-6</v>
          </cell>
          <cell r="B725">
            <v>2.9802763485000001E-2</v>
          </cell>
        </row>
        <row r="726">
          <cell r="A726">
            <v>-4.0049999999999998E-6</v>
          </cell>
          <cell r="B726">
            <v>3.1410803669000002E-2</v>
          </cell>
        </row>
        <row r="727">
          <cell r="A727">
            <v>-3.9999999999999998E-6</v>
          </cell>
          <cell r="B727">
            <v>2.9802763485000001E-2</v>
          </cell>
        </row>
        <row r="728">
          <cell r="A728">
            <v>-3.9949999999999999E-6</v>
          </cell>
          <cell r="B728">
            <v>2.9802763485000001E-2</v>
          </cell>
        </row>
        <row r="729">
          <cell r="A729">
            <v>-3.9899999999999999E-6</v>
          </cell>
          <cell r="B729">
            <v>3.3822863944999997E-2</v>
          </cell>
        </row>
        <row r="730">
          <cell r="A730">
            <v>-3.985E-6</v>
          </cell>
          <cell r="B730">
            <v>3.2214823761000003E-2</v>
          </cell>
        </row>
        <row r="731">
          <cell r="A731">
            <v>-3.98E-6</v>
          </cell>
          <cell r="B731">
            <v>3.0606783576999998E-2</v>
          </cell>
        </row>
        <row r="732">
          <cell r="A732">
            <v>-3.9750000000000001E-6</v>
          </cell>
          <cell r="B732">
            <v>3.1410803669000002E-2</v>
          </cell>
        </row>
        <row r="733">
          <cell r="A733">
            <v>-3.9700000000000001E-6</v>
          </cell>
          <cell r="B733">
            <v>3.1410803669000002E-2</v>
          </cell>
        </row>
        <row r="734">
          <cell r="A734">
            <v>-3.9650000000000002E-6</v>
          </cell>
          <cell r="B734">
            <v>3.0606783576999998E-2</v>
          </cell>
        </row>
        <row r="735">
          <cell r="A735">
            <v>-3.9600000000000002E-6</v>
          </cell>
          <cell r="B735">
            <v>3.0606783576999998E-2</v>
          </cell>
        </row>
        <row r="736">
          <cell r="A736">
            <v>-3.9550000000000002E-6</v>
          </cell>
          <cell r="B736">
            <v>3.3018843853000003E-2</v>
          </cell>
        </row>
        <row r="737">
          <cell r="A737">
            <v>-3.9500000000000003E-6</v>
          </cell>
          <cell r="B737">
            <v>3.0606783576999998E-2</v>
          </cell>
        </row>
        <row r="738">
          <cell r="A738">
            <v>-3.9450000000000003E-6</v>
          </cell>
          <cell r="B738">
            <v>3.1410803669000002E-2</v>
          </cell>
        </row>
        <row r="739">
          <cell r="A739">
            <v>-3.9400000000000004E-6</v>
          </cell>
          <cell r="B739">
            <v>3.3018843853000003E-2</v>
          </cell>
        </row>
        <row r="740">
          <cell r="A740">
            <v>-3.9349999999999996E-6</v>
          </cell>
          <cell r="B740">
            <v>3.0606783576999998E-2</v>
          </cell>
        </row>
        <row r="741">
          <cell r="A741">
            <v>-3.9299999999999996E-6</v>
          </cell>
          <cell r="B741">
            <v>3.1410803669000002E-2</v>
          </cell>
        </row>
        <row r="742">
          <cell r="A742">
            <v>-3.9249999999999997E-6</v>
          </cell>
          <cell r="B742">
            <v>2.8194723301999999E-2</v>
          </cell>
        </row>
        <row r="743">
          <cell r="A743">
            <v>-3.9199999999999997E-6</v>
          </cell>
          <cell r="B743">
            <v>3.1410803669000002E-2</v>
          </cell>
        </row>
        <row r="744">
          <cell r="A744">
            <v>-3.9149999999999998E-6</v>
          </cell>
          <cell r="B744">
            <v>3.2214823761000003E-2</v>
          </cell>
        </row>
        <row r="745">
          <cell r="A745">
            <v>-3.9099999999999998E-6</v>
          </cell>
          <cell r="B745">
            <v>2.8998743394E-2</v>
          </cell>
        </row>
        <row r="746">
          <cell r="A746">
            <v>-3.9049999999999999E-6</v>
          </cell>
          <cell r="B746">
            <v>3.4626884036999997E-2</v>
          </cell>
        </row>
        <row r="747">
          <cell r="A747">
            <v>-3.8999999999999999E-6</v>
          </cell>
          <cell r="B747">
            <v>2.8998743393000001E-2</v>
          </cell>
        </row>
        <row r="748">
          <cell r="A748">
            <v>-3.895E-6</v>
          </cell>
          <cell r="B748">
            <v>3.4626884036999997E-2</v>
          </cell>
        </row>
        <row r="749">
          <cell r="A749">
            <v>-3.89E-6</v>
          </cell>
          <cell r="B749">
            <v>3.2214823761000003E-2</v>
          </cell>
        </row>
        <row r="750">
          <cell r="A750">
            <v>-3.8850000000000001E-6</v>
          </cell>
          <cell r="B750">
            <v>3.4626884036999997E-2</v>
          </cell>
        </row>
        <row r="751">
          <cell r="A751">
            <v>-3.8800000000000001E-6</v>
          </cell>
          <cell r="B751">
            <v>3.1410803669000002E-2</v>
          </cell>
        </row>
        <row r="752">
          <cell r="A752">
            <v>-3.8750000000000002E-6</v>
          </cell>
          <cell r="B752">
            <v>2.9802763485000001E-2</v>
          </cell>
        </row>
        <row r="753">
          <cell r="A753">
            <v>-3.8700000000000002E-6</v>
          </cell>
          <cell r="B753">
            <v>3.0606783576999998E-2</v>
          </cell>
        </row>
        <row r="754">
          <cell r="A754">
            <v>-3.8650000000000003E-6</v>
          </cell>
          <cell r="B754">
            <v>3.3018843853000003E-2</v>
          </cell>
        </row>
        <row r="755">
          <cell r="A755">
            <v>-3.8600000000000003E-6</v>
          </cell>
          <cell r="B755">
            <v>3.3822863944999997E-2</v>
          </cell>
        </row>
        <row r="756">
          <cell r="A756">
            <v>-3.8550000000000004E-6</v>
          </cell>
          <cell r="B756">
            <v>3.0606783576999998E-2</v>
          </cell>
        </row>
        <row r="757">
          <cell r="A757">
            <v>-3.8500000000000004E-6</v>
          </cell>
          <cell r="B757">
            <v>3.4626884036999997E-2</v>
          </cell>
        </row>
        <row r="758">
          <cell r="A758">
            <v>-3.8449999999999996E-6</v>
          </cell>
          <cell r="B758">
            <v>3.2214823761000003E-2</v>
          </cell>
        </row>
        <row r="759">
          <cell r="A759">
            <v>-3.8399999999999997E-6</v>
          </cell>
          <cell r="B759">
            <v>3.1410803669000002E-2</v>
          </cell>
        </row>
        <row r="760">
          <cell r="A760">
            <v>-3.8349999999999997E-6</v>
          </cell>
          <cell r="B760">
            <v>2.9802763485000001E-2</v>
          </cell>
        </row>
        <row r="761">
          <cell r="A761">
            <v>-3.8299999999999998E-6</v>
          </cell>
          <cell r="B761">
            <v>3.3822863944999997E-2</v>
          </cell>
        </row>
        <row r="762">
          <cell r="A762">
            <v>-3.8249999999999998E-6</v>
          </cell>
          <cell r="B762">
            <v>3.3018843853000003E-2</v>
          </cell>
        </row>
        <row r="763">
          <cell r="A763">
            <v>-3.8199999999999998E-6</v>
          </cell>
          <cell r="B763">
            <v>2.9802763485000001E-2</v>
          </cell>
        </row>
        <row r="764">
          <cell r="A764">
            <v>-3.8149999999999999E-6</v>
          </cell>
          <cell r="B764">
            <v>3.3018843853000003E-2</v>
          </cell>
        </row>
        <row r="765">
          <cell r="A765">
            <v>-3.8099999999999999E-6</v>
          </cell>
          <cell r="B765">
            <v>2.9802763485000001E-2</v>
          </cell>
        </row>
        <row r="766">
          <cell r="A766">
            <v>-3.805E-6</v>
          </cell>
          <cell r="B766">
            <v>3.2214823761000003E-2</v>
          </cell>
        </row>
        <row r="767">
          <cell r="A767">
            <v>-3.8E-6</v>
          </cell>
          <cell r="B767">
            <v>3.2214823761000003E-2</v>
          </cell>
        </row>
        <row r="768">
          <cell r="A768">
            <v>-3.7950000000000001E-6</v>
          </cell>
          <cell r="B768">
            <v>3.1410803669000002E-2</v>
          </cell>
        </row>
        <row r="769">
          <cell r="A769">
            <v>-3.7900000000000001E-6</v>
          </cell>
          <cell r="B769">
            <v>3.1410803669000002E-2</v>
          </cell>
        </row>
        <row r="770">
          <cell r="A770">
            <v>-3.7850000000000002E-6</v>
          </cell>
          <cell r="B770">
            <v>3.1410803669000002E-2</v>
          </cell>
        </row>
        <row r="771">
          <cell r="A771">
            <v>-3.7799999999999998E-6</v>
          </cell>
          <cell r="B771">
            <v>3.3018843853000003E-2</v>
          </cell>
        </row>
        <row r="772">
          <cell r="A772">
            <v>-3.7749999999999999E-6</v>
          </cell>
          <cell r="B772">
            <v>3.3018843853000003E-2</v>
          </cell>
        </row>
        <row r="773">
          <cell r="A773">
            <v>-3.7699999999999999E-6</v>
          </cell>
          <cell r="B773">
            <v>3.3822863944999997E-2</v>
          </cell>
        </row>
        <row r="774">
          <cell r="A774">
            <v>-3.765E-6</v>
          </cell>
          <cell r="B774">
            <v>3.0606783576999998E-2</v>
          </cell>
        </row>
        <row r="775">
          <cell r="A775">
            <v>-3.76E-6</v>
          </cell>
          <cell r="B775">
            <v>3.3018843853000003E-2</v>
          </cell>
        </row>
        <row r="776">
          <cell r="A776">
            <v>-3.755E-6</v>
          </cell>
          <cell r="B776">
            <v>3.3018843853000003E-2</v>
          </cell>
        </row>
        <row r="777">
          <cell r="A777">
            <v>-3.7500000000000001E-6</v>
          </cell>
          <cell r="B777">
            <v>2.9802763485000001E-2</v>
          </cell>
        </row>
        <row r="778">
          <cell r="A778">
            <v>-3.7450000000000001E-6</v>
          </cell>
          <cell r="B778">
            <v>3.2214823761000003E-2</v>
          </cell>
        </row>
        <row r="779">
          <cell r="A779">
            <v>-3.7400000000000002E-6</v>
          </cell>
          <cell r="B779">
            <v>3.4626884036999997E-2</v>
          </cell>
        </row>
        <row r="780">
          <cell r="A780">
            <v>-3.7349999999999998E-6</v>
          </cell>
          <cell r="B780">
            <v>3.0606783576999998E-2</v>
          </cell>
        </row>
        <row r="781">
          <cell r="A781">
            <v>-3.7299999999999999E-6</v>
          </cell>
          <cell r="B781">
            <v>3.2214823761000003E-2</v>
          </cell>
        </row>
        <row r="782">
          <cell r="A782">
            <v>-3.7249999999999999E-6</v>
          </cell>
          <cell r="B782">
            <v>3.2214823761000003E-2</v>
          </cell>
        </row>
        <row r="783">
          <cell r="A783">
            <v>-3.72E-6</v>
          </cell>
          <cell r="B783">
            <v>3.0606783576999998E-2</v>
          </cell>
        </row>
        <row r="784">
          <cell r="A784">
            <v>-3.715E-6</v>
          </cell>
          <cell r="B784">
            <v>3.2214823761000003E-2</v>
          </cell>
        </row>
        <row r="785">
          <cell r="A785">
            <v>-3.7100000000000001E-6</v>
          </cell>
          <cell r="B785">
            <v>2.9802763485000001E-2</v>
          </cell>
        </row>
        <row r="786">
          <cell r="A786">
            <v>-3.7050000000000001E-6</v>
          </cell>
          <cell r="B786">
            <v>3.1410803669000002E-2</v>
          </cell>
        </row>
        <row r="787">
          <cell r="A787">
            <v>-3.7000000000000002E-6</v>
          </cell>
          <cell r="B787">
            <v>3.1410803669000002E-2</v>
          </cell>
        </row>
        <row r="788">
          <cell r="A788">
            <v>-3.6950000000000002E-6</v>
          </cell>
          <cell r="B788">
            <v>3.1410803669000002E-2</v>
          </cell>
        </row>
        <row r="789">
          <cell r="A789">
            <v>-3.6899999999999998E-6</v>
          </cell>
          <cell r="B789">
            <v>3.0606783576999998E-2</v>
          </cell>
        </row>
        <row r="790">
          <cell r="A790">
            <v>-3.6849999999999999E-6</v>
          </cell>
          <cell r="B790">
            <v>2.8998743394E-2</v>
          </cell>
        </row>
        <row r="791">
          <cell r="A791">
            <v>-3.6799999999999999E-6</v>
          </cell>
          <cell r="B791">
            <v>3.3018843853000003E-2</v>
          </cell>
        </row>
        <row r="792">
          <cell r="A792">
            <v>-3.675E-6</v>
          </cell>
          <cell r="B792">
            <v>3.3018843853000003E-2</v>
          </cell>
        </row>
        <row r="793">
          <cell r="A793">
            <v>-3.67E-6</v>
          </cell>
          <cell r="B793">
            <v>3.2214823761000003E-2</v>
          </cell>
        </row>
        <row r="794">
          <cell r="A794">
            <v>-3.6650000000000001E-6</v>
          </cell>
          <cell r="B794">
            <v>2.9802763485000001E-2</v>
          </cell>
        </row>
        <row r="795">
          <cell r="A795">
            <v>-3.6600000000000001E-6</v>
          </cell>
          <cell r="B795">
            <v>3.2214823761000003E-2</v>
          </cell>
        </row>
        <row r="796">
          <cell r="A796">
            <v>-3.6550000000000002E-6</v>
          </cell>
          <cell r="B796">
            <v>2.9802763485000001E-2</v>
          </cell>
        </row>
        <row r="797">
          <cell r="A797">
            <v>-3.6500000000000002E-6</v>
          </cell>
          <cell r="B797">
            <v>3.3018843853000003E-2</v>
          </cell>
        </row>
        <row r="798">
          <cell r="A798">
            <v>-3.6449999999999998E-6</v>
          </cell>
          <cell r="B798">
            <v>2.8998743394E-2</v>
          </cell>
        </row>
        <row r="799">
          <cell r="A799">
            <v>-3.6399999999999999E-6</v>
          </cell>
          <cell r="B799">
            <v>3.0606783576999998E-2</v>
          </cell>
        </row>
        <row r="800">
          <cell r="A800">
            <v>-3.6349999999999999E-6</v>
          </cell>
          <cell r="B800">
            <v>3.0606783576999998E-2</v>
          </cell>
        </row>
        <row r="801">
          <cell r="A801">
            <v>-3.63E-6</v>
          </cell>
          <cell r="B801">
            <v>3.0606783576999998E-2</v>
          </cell>
        </row>
        <row r="802">
          <cell r="A802">
            <v>-3.625E-6</v>
          </cell>
          <cell r="B802">
            <v>3.3822863944999997E-2</v>
          </cell>
        </row>
        <row r="803">
          <cell r="A803">
            <v>-3.6200000000000001E-6</v>
          </cell>
          <cell r="B803">
            <v>3.3822863944999997E-2</v>
          </cell>
        </row>
        <row r="804">
          <cell r="A804">
            <v>-3.6150000000000001E-6</v>
          </cell>
          <cell r="B804">
            <v>3.0606783576999998E-2</v>
          </cell>
        </row>
        <row r="805">
          <cell r="A805">
            <v>-3.6100000000000002E-6</v>
          </cell>
          <cell r="B805">
            <v>3.2214823761000003E-2</v>
          </cell>
        </row>
        <row r="806">
          <cell r="A806">
            <v>-3.6049999999999998E-6</v>
          </cell>
          <cell r="B806">
            <v>3.5430904128999997E-2</v>
          </cell>
        </row>
        <row r="807">
          <cell r="A807">
            <v>-3.5999999999999998E-6</v>
          </cell>
          <cell r="B807">
            <v>3.3822863944999997E-2</v>
          </cell>
        </row>
        <row r="808">
          <cell r="A808">
            <v>-3.5949999999999999E-6</v>
          </cell>
          <cell r="B808">
            <v>3.0606783576999998E-2</v>
          </cell>
        </row>
        <row r="809">
          <cell r="A809">
            <v>-3.5899999999999999E-6</v>
          </cell>
          <cell r="B809">
            <v>3.1410803669000002E-2</v>
          </cell>
        </row>
        <row r="810">
          <cell r="A810">
            <v>-3.585E-6</v>
          </cell>
          <cell r="B810">
            <v>3.1410803669000002E-2</v>
          </cell>
        </row>
        <row r="811">
          <cell r="A811">
            <v>-3.58E-6</v>
          </cell>
          <cell r="B811">
            <v>3.2214823761000003E-2</v>
          </cell>
        </row>
        <row r="812">
          <cell r="A812">
            <v>-3.5750000000000001E-6</v>
          </cell>
          <cell r="B812">
            <v>3.0606783576999998E-2</v>
          </cell>
        </row>
        <row r="813">
          <cell r="A813">
            <v>-3.5700000000000001E-6</v>
          </cell>
          <cell r="B813">
            <v>3.2214823761000003E-2</v>
          </cell>
        </row>
        <row r="814">
          <cell r="A814">
            <v>-3.5650000000000002E-6</v>
          </cell>
          <cell r="B814">
            <v>3.0606783576999998E-2</v>
          </cell>
        </row>
        <row r="815">
          <cell r="A815">
            <v>-3.5599999999999998E-6</v>
          </cell>
          <cell r="B815">
            <v>3.1410803669000002E-2</v>
          </cell>
        </row>
        <row r="816">
          <cell r="A816">
            <v>-3.5549999999999998E-6</v>
          </cell>
          <cell r="B816">
            <v>3.0606783576999998E-2</v>
          </cell>
        </row>
        <row r="817">
          <cell r="A817">
            <v>-3.5499999999999999E-6</v>
          </cell>
          <cell r="B817">
            <v>3.1410803669000002E-2</v>
          </cell>
        </row>
        <row r="818">
          <cell r="A818">
            <v>-3.5449999999999999E-6</v>
          </cell>
          <cell r="B818">
            <v>3.2214823761000003E-2</v>
          </cell>
        </row>
        <row r="819">
          <cell r="A819">
            <v>-3.54E-6</v>
          </cell>
          <cell r="B819">
            <v>3.0606783576999998E-2</v>
          </cell>
        </row>
        <row r="820">
          <cell r="A820">
            <v>-3.535E-6</v>
          </cell>
          <cell r="B820">
            <v>2.9802763485000001E-2</v>
          </cell>
        </row>
        <row r="821">
          <cell r="A821">
            <v>-3.5300000000000001E-6</v>
          </cell>
          <cell r="B821">
            <v>3.1410803669000002E-2</v>
          </cell>
        </row>
        <row r="822">
          <cell r="A822">
            <v>-3.5250000000000001E-6</v>
          </cell>
          <cell r="B822">
            <v>3.2214823761000003E-2</v>
          </cell>
        </row>
        <row r="823">
          <cell r="A823">
            <v>-3.5200000000000002E-6</v>
          </cell>
          <cell r="B823">
            <v>2.6586683117999999E-2</v>
          </cell>
        </row>
        <row r="824">
          <cell r="A824">
            <v>-3.5149999999999998E-6</v>
          </cell>
          <cell r="B824">
            <v>3.0606783576999998E-2</v>
          </cell>
        </row>
        <row r="825">
          <cell r="A825">
            <v>-3.5099999999999999E-6</v>
          </cell>
          <cell r="B825">
            <v>3.0606783576999998E-2</v>
          </cell>
        </row>
        <row r="826">
          <cell r="A826">
            <v>-3.5049999999999999E-6</v>
          </cell>
          <cell r="B826">
            <v>3.3018843853000003E-2</v>
          </cell>
        </row>
        <row r="827">
          <cell r="A827">
            <v>-3.4999999999999999E-6</v>
          </cell>
          <cell r="B827">
            <v>3.4626884036999997E-2</v>
          </cell>
        </row>
        <row r="828">
          <cell r="A828">
            <v>-3.495E-6</v>
          </cell>
          <cell r="B828">
            <v>2.8194723301999999E-2</v>
          </cell>
        </row>
        <row r="829">
          <cell r="A829">
            <v>-3.49E-6</v>
          </cell>
          <cell r="B829">
            <v>3.1410803669000002E-2</v>
          </cell>
        </row>
        <row r="830">
          <cell r="A830">
            <v>-3.4850000000000001E-6</v>
          </cell>
          <cell r="B830">
            <v>3.0606783576999998E-2</v>
          </cell>
        </row>
        <row r="831">
          <cell r="A831">
            <v>-3.4800000000000001E-6</v>
          </cell>
          <cell r="B831">
            <v>3.1410803669000002E-2</v>
          </cell>
        </row>
        <row r="832">
          <cell r="A832">
            <v>-3.4750000000000002E-6</v>
          </cell>
          <cell r="B832">
            <v>2.9802763485000001E-2</v>
          </cell>
        </row>
        <row r="833">
          <cell r="A833">
            <v>-3.4699999999999998E-6</v>
          </cell>
          <cell r="B833">
            <v>3.1410803669000002E-2</v>
          </cell>
        </row>
        <row r="834">
          <cell r="A834">
            <v>-3.4649999999999999E-6</v>
          </cell>
          <cell r="B834">
            <v>3.1410803669000002E-2</v>
          </cell>
        </row>
        <row r="835">
          <cell r="A835">
            <v>-3.4599999999999999E-6</v>
          </cell>
          <cell r="B835">
            <v>2.9802763485000001E-2</v>
          </cell>
        </row>
        <row r="836">
          <cell r="A836">
            <v>-3.455E-6</v>
          </cell>
          <cell r="B836">
            <v>3.3822863944999997E-2</v>
          </cell>
        </row>
        <row r="837">
          <cell r="A837">
            <v>-3.45E-6</v>
          </cell>
          <cell r="B837">
            <v>2.8998743393000001E-2</v>
          </cell>
        </row>
        <row r="838">
          <cell r="A838">
            <v>-3.4450000000000001E-6</v>
          </cell>
          <cell r="B838">
            <v>3.3018843853000003E-2</v>
          </cell>
        </row>
        <row r="839">
          <cell r="A839">
            <v>-3.4400000000000001E-6</v>
          </cell>
          <cell r="B839">
            <v>3.3822863944999997E-2</v>
          </cell>
        </row>
        <row r="840">
          <cell r="A840">
            <v>-3.4350000000000001E-6</v>
          </cell>
          <cell r="B840">
            <v>3.4626884036999997E-2</v>
          </cell>
        </row>
        <row r="841">
          <cell r="A841">
            <v>-3.4300000000000002E-6</v>
          </cell>
          <cell r="B841">
            <v>3.3018843853000003E-2</v>
          </cell>
        </row>
        <row r="842">
          <cell r="A842">
            <v>-3.4249999999999998E-6</v>
          </cell>
          <cell r="B842">
            <v>2.8998743393000001E-2</v>
          </cell>
        </row>
        <row r="843">
          <cell r="A843">
            <v>-3.4199999999999999E-6</v>
          </cell>
          <cell r="B843">
            <v>3.5430904128999997E-2</v>
          </cell>
        </row>
        <row r="844">
          <cell r="A844">
            <v>-3.4149999999999999E-6</v>
          </cell>
          <cell r="B844">
            <v>3.0606783576999998E-2</v>
          </cell>
        </row>
        <row r="845">
          <cell r="A845">
            <v>-3.41E-6</v>
          </cell>
          <cell r="B845">
            <v>2.9802763485000001E-2</v>
          </cell>
        </row>
        <row r="846">
          <cell r="A846">
            <v>-3.405E-6</v>
          </cell>
          <cell r="B846">
            <v>2.9802763485000001E-2</v>
          </cell>
        </row>
        <row r="847">
          <cell r="A847">
            <v>-3.4000000000000001E-6</v>
          </cell>
          <cell r="B847">
            <v>3.3018843853000003E-2</v>
          </cell>
        </row>
        <row r="848">
          <cell r="A848">
            <v>-3.3950000000000001E-6</v>
          </cell>
          <cell r="B848">
            <v>3.2214823761000003E-2</v>
          </cell>
        </row>
        <row r="849">
          <cell r="A849">
            <v>-3.3900000000000002E-6</v>
          </cell>
          <cell r="B849">
            <v>3.2214823761000003E-2</v>
          </cell>
        </row>
        <row r="850">
          <cell r="A850">
            <v>-3.3850000000000002E-6</v>
          </cell>
          <cell r="B850">
            <v>3.1410803669000002E-2</v>
          </cell>
        </row>
        <row r="851">
          <cell r="A851">
            <v>-3.3799999999999998E-6</v>
          </cell>
          <cell r="B851">
            <v>2.9802763485000001E-2</v>
          </cell>
        </row>
        <row r="852">
          <cell r="A852">
            <v>-3.3749999999999999E-6</v>
          </cell>
          <cell r="B852">
            <v>3.1410803669000002E-2</v>
          </cell>
        </row>
        <row r="853">
          <cell r="A853">
            <v>-3.3699999999999999E-6</v>
          </cell>
          <cell r="B853">
            <v>2.8998743393000001E-2</v>
          </cell>
        </row>
        <row r="854">
          <cell r="A854">
            <v>-3.365E-6</v>
          </cell>
          <cell r="B854">
            <v>3.1410803669000002E-2</v>
          </cell>
        </row>
        <row r="855">
          <cell r="A855">
            <v>-3.36E-6</v>
          </cell>
          <cell r="B855">
            <v>3.2214823761000003E-2</v>
          </cell>
        </row>
        <row r="856">
          <cell r="A856">
            <v>-3.3550000000000001E-6</v>
          </cell>
          <cell r="B856">
            <v>2.9802763485000001E-2</v>
          </cell>
        </row>
        <row r="857">
          <cell r="A857">
            <v>-3.3500000000000001E-6</v>
          </cell>
          <cell r="B857">
            <v>2.8998743393000001E-2</v>
          </cell>
        </row>
        <row r="858">
          <cell r="A858">
            <v>-3.3450000000000002E-6</v>
          </cell>
          <cell r="B858">
            <v>3.1410803669000002E-2</v>
          </cell>
        </row>
        <row r="859">
          <cell r="A859">
            <v>-3.3400000000000002E-6</v>
          </cell>
          <cell r="B859">
            <v>2.9802763485000001E-2</v>
          </cell>
        </row>
        <row r="860">
          <cell r="A860">
            <v>-3.3349999999999998E-6</v>
          </cell>
          <cell r="B860">
            <v>2.7390703209999999E-2</v>
          </cell>
        </row>
        <row r="861">
          <cell r="A861">
            <v>-3.3299999999999999E-6</v>
          </cell>
          <cell r="B861">
            <v>2.9802763485000001E-2</v>
          </cell>
        </row>
        <row r="862">
          <cell r="A862">
            <v>-3.3249999999999999E-6</v>
          </cell>
          <cell r="B862">
            <v>2.8998743394E-2</v>
          </cell>
        </row>
        <row r="863">
          <cell r="A863">
            <v>-3.32E-6</v>
          </cell>
          <cell r="B863">
            <v>2.9802763485000001E-2</v>
          </cell>
        </row>
        <row r="864">
          <cell r="A864">
            <v>-3.315E-6</v>
          </cell>
          <cell r="B864">
            <v>2.9802763485000001E-2</v>
          </cell>
        </row>
        <row r="865">
          <cell r="A865">
            <v>-3.3100000000000001E-6</v>
          </cell>
          <cell r="B865">
            <v>2.9802763485000001E-2</v>
          </cell>
        </row>
        <row r="866">
          <cell r="A866">
            <v>-3.3050000000000001E-6</v>
          </cell>
          <cell r="B866">
            <v>3.0606783576999998E-2</v>
          </cell>
        </row>
        <row r="867">
          <cell r="A867">
            <v>-3.3000000000000002E-6</v>
          </cell>
          <cell r="B867">
            <v>2.9802763485000001E-2</v>
          </cell>
        </row>
        <row r="868">
          <cell r="A868">
            <v>-3.2949999999999998E-6</v>
          </cell>
          <cell r="B868">
            <v>3.2214823761000003E-2</v>
          </cell>
        </row>
        <row r="869">
          <cell r="A869">
            <v>-3.2899999999999998E-6</v>
          </cell>
          <cell r="B869">
            <v>2.8194723301999999E-2</v>
          </cell>
        </row>
        <row r="870">
          <cell r="A870">
            <v>-3.2849999999999999E-6</v>
          </cell>
          <cell r="B870">
            <v>3.3018843853000003E-2</v>
          </cell>
        </row>
        <row r="871">
          <cell r="A871">
            <v>-3.2799999999999999E-6</v>
          </cell>
          <cell r="B871">
            <v>2.9802763485000001E-2</v>
          </cell>
        </row>
        <row r="872">
          <cell r="A872">
            <v>-3.275E-6</v>
          </cell>
          <cell r="B872">
            <v>3.0606783576999998E-2</v>
          </cell>
        </row>
        <row r="873">
          <cell r="A873">
            <v>-3.27E-6</v>
          </cell>
          <cell r="B873">
            <v>3.0606783576999998E-2</v>
          </cell>
        </row>
        <row r="874">
          <cell r="A874">
            <v>-3.2650000000000001E-6</v>
          </cell>
          <cell r="B874">
            <v>2.9802763485000001E-2</v>
          </cell>
        </row>
        <row r="875">
          <cell r="A875">
            <v>-3.2600000000000001E-6</v>
          </cell>
          <cell r="B875">
            <v>2.9802763485000001E-2</v>
          </cell>
        </row>
        <row r="876">
          <cell r="A876">
            <v>-3.2550000000000002E-6</v>
          </cell>
          <cell r="B876">
            <v>3.3822863944999997E-2</v>
          </cell>
        </row>
        <row r="877">
          <cell r="A877">
            <v>-3.2499999999999998E-6</v>
          </cell>
          <cell r="B877">
            <v>3.1410803669000002E-2</v>
          </cell>
        </row>
        <row r="878">
          <cell r="A878">
            <v>-3.2449999999999998E-6</v>
          </cell>
          <cell r="B878">
            <v>3.0606783576999998E-2</v>
          </cell>
        </row>
        <row r="879">
          <cell r="A879">
            <v>-3.2399999999999999E-6</v>
          </cell>
          <cell r="B879">
            <v>2.8998743393000001E-2</v>
          </cell>
        </row>
        <row r="880">
          <cell r="A880">
            <v>-3.2349999999999999E-6</v>
          </cell>
          <cell r="B880">
            <v>3.4626884036999997E-2</v>
          </cell>
        </row>
        <row r="881">
          <cell r="A881">
            <v>-3.23E-6</v>
          </cell>
          <cell r="B881">
            <v>3.2214823761000003E-2</v>
          </cell>
        </row>
        <row r="882">
          <cell r="A882">
            <v>-3.225E-6</v>
          </cell>
          <cell r="B882">
            <v>3.3822863944999997E-2</v>
          </cell>
        </row>
        <row r="883">
          <cell r="A883">
            <v>-3.2200000000000001E-6</v>
          </cell>
          <cell r="B883">
            <v>3.0606783576999998E-2</v>
          </cell>
        </row>
        <row r="884">
          <cell r="A884">
            <v>-3.2150000000000001E-6</v>
          </cell>
          <cell r="B884">
            <v>3.3018843853000003E-2</v>
          </cell>
        </row>
        <row r="885">
          <cell r="A885">
            <v>-3.2100000000000002E-6</v>
          </cell>
          <cell r="B885">
            <v>3.1410803669000002E-2</v>
          </cell>
        </row>
        <row r="886">
          <cell r="A886">
            <v>-3.2049999999999998E-6</v>
          </cell>
          <cell r="B886">
            <v>2.9802763485000001E-2</v>
          </cell>
        </row>
        <row r="887">
          <cell r="A887">
            <v>-3.1999999999999999E-6</v>
          </cell>
          <cell r="B887">
            <v>2.8998743393000001E-2</v>
          </cell>
        </row>
        <row r="888">
          <cell r="A888">
            <v>-3.1949999999999999E-6</v>
          </cell>
          <cell r="B888">
            <v>3.3018843853000003E-2</v>
          </cell>
        </row>
        <row r="889">
          <cell r="A889">
            <v>-3.19E-6</v>
          </cell>
          <cell r="B889">
            <v>3.1410803669000002E-2</v>
          </cell>
        </row>
        <row r="890">
          <cell r="A890">
            <v>-3.185E-6</v>
          </cell>
          <cell r="B890">
            <v>2.9802763485000001E-2</v>
          </cell>
        </row>
        <row r="891">
          <cell r="A891">
            <v>-3.18E-6</v>
          </cell>
          <cell r="B891">
            <v>3.1410803669000002E-2</v>
          </cell>
        </row>
        <row r="892">
          <cell r="A892">
            <v>-3.1750000000000001E-6</v>
          </cell>
          <cell r="B892">
            <v>2.9802763485000001E-2</v>
          </cell>
        </row>
        <row r="893">
          <cell r="A893">
            <v>-3.1700000000000001E-6</v>
          </cell>
          <cell r="B893">
            <v>3.1410803669000002E-2</v>
          </cell>
        </row>
        <row r="894">
          <cell r="A894">
            <v>-3.1650000000000002E-6</v>
          </cell>
          <cell r="B894">
            <v>3.4626884035999998E-2</v>
          </cell>
        </row>
        <row r="895">
          <cell r="A895">
            <v>-3.1599999999999998E-6</v>
          </cell>
          <cell r="B895">
            <v>3.2214823761000003E-2</v>
          </cell>
        </row>
        <row r="896">
          <cell r="A896">
            <v>-3.1549999999999999E-6</v>
          </cell>
          <cell r="B896">
            <v>3.2214823761000003E-2</v>
          </cell>
        </row>
        <row r="897">
          <cell r="A897">
            <v>-3.1499999999999999E-6</v>
          </cell>
          <cell r="B897">
            <v>2.9802763486E-2</v>
          </cell>
        </row>
        <row r="898">
          <cell r="A898">
            <v>-3.145E-6</v>
          </cell>
          <cell r="B898">
            <v>3.4626884036999997E-2</v>
          </cell>
        </row>
        <row r="899">
          <cell r="A899">
            <v>-3.14E-6</v>
          </cell>
          <cell r="B899">
            <v>3.3822863944999997E-2</v>
          </cell>
        </row>
        <row r="900">
          <cell r="A900">
            <v>-3.1350000000000001E-6</v>
          </cell>
          <cell r="B900">
            <v>2.9802763485000001E-2</v>
          </cell>
        </row>
        <row r="901">
          <cell r="A901">
            <v>-3.1300000000000001E-6</v>
          </cell>
          <cell r="B901">
            <v>3.1410803669000002E-2</v>
          </cell>
        </row>
        <row r="902">
          <cell r="A902">
            <v>-3.1250000000000001E-6</v>
          </cell>
          <cell r="B902">
            <v>3.1410803669000002E-2</v>
          </cell>
        </row>
        <row r="903">
          <cell r="A903">
            <v>-3.1200000000000002E-6</v>
          </cell>
          <cell r="B903">
            <v>3.3018843853000003E-2</v>
          </cell>
        </row>
        <row r="904">
          <cell r="A904">
            <v>-3.1149999999999998E-6</v>
          </cell>
          <cell r="B904">
            <v>2.7390703209999999E-2</v>
          </cell>
        </row>
        <row r="905">
          <cell r="A905">
            <v>-3.1099999999999999E-6</v>
          </cell>
          <cell r="B905">
            <v>3.4626884036999997E-2</v>
          </cell>
        </row>
        <row r="906">
          <cell r="A906">
            <v>-3.1049999999999999E-6</v>
          </cell>
          <cell r="B906">
            <v>3.2214823761000003E-2</v>
          </cell>
        </row>
        <row r="907">
          <cell r="A907">
            <v>-3.1E-6</v>
          </cell>
          <cell r="B907">
            <v>3.2214823761000003E-2</v>
          </cell>
        </row>
        <row r="908">
          <cell r="A908">
            <v>-3.095E-6</v>
          </cell>
          <cell r="B908">
            <v>3.1410803669000002E-2</v>
          </cell>
        </row>
        <row r="909">
          <cell r="A909">
            <v>-3.0900000000000001E-6</v>
          </cell>
          <cell r="B909">
            <v>3.2214823761000003E-2</v>
          </cell>
        </row>
        <row r="910">
          <cell r="A910">
            <v>-3.0850000000000001E-6</v>
          </cell>
          <cell r="B910">
            <v>3.5430904128999997E-2</v>
          </cell>
        </row>
        <row r="911">
          <cell r="A911">
            <v>-3.0800000000000002E-6</v>
          </cell>
          <cell r="B911">
            <v>3.1410803669000002E-2</v>
          </cell>
        </row>
        <row r="912">
          <cell r="A912">
            <v>-3.0750000000000002E-6</v>
          </cell>
          <cell r="B912">
            <v>3.3822863944999997E-2</v>
          </cell>
        </row>
        <row r="913">
          <cell r="A913">
            <v>-3.0699999999999998E-6</v>
          </cell>
          <cell r="B913">
            <v>3.1410803669000002E-2</v>
          </cell>
        </row>
        <row r="914">
          <cell r="A914">
            <v>-3.0649999999999999E-6</v>
          </cell>
          <cell r="B914">
            <v>3.3822863944999997E-2</v>
          </cell>
        </row>
        <row r="915">
          <cell r="A915">
            <v>-3.0599999999999999E-6</v>
          </cell>
          <cell r="B915">
            <v>3.1410803669000002E-2</v>
          </cell>
        </row>
        <row r="916">
          <cell r="A916">
            <v>-3.055E-6</v>
          </cell>
          <cell r="B916">
            <v>3.3822863944999997E-2</v>
          </cell>
        </row>
        <row r="917">
          <cell r="A917">
            <v>-3.05E-6</v>
          </cell>
          <cell r="B917">
            <v>2.8998743393000001E-2</v>
          </cell>
        </row>
        <row r="918">
          <cell r="A918">
            <v>-3.0450000000000001E-6</v>
          </cell>
          <cell r="B918">
            <v>3.0606783576999998E-2</v>
          </cell>
        </row>
        <row r="919">
          <cell r="A919">
            <v>-3.0400000000000001E-6</v>
          </cell>
          <cell r="B919">
            <v>3.0606783576999998E-2</v>
          </cell>
        </row>
        <row r="920">
          <cell r="A920">
            <v>-3.0350000000000002E-6</v>
          </cell>
          <cell r="B920">
            <v>3.1410803669000002E-2</v>
          </cell>
        </row>
        <row r="921">
          <cell r="A921">
            <v>-3.0299999999999998E-6</v>
          </cell>
          <cell r="B921">
            <v>3.3018843853000003E-2</v>
          </cell>
        </row>
        <row r="922">
          <cell r="A922">
            <v>-3.0249999999999998E-6</v>
          </cell>
          <cell r="B922">
            <v>3.2214823761000003E-2</v>
          </cell>
        </row>
        <row r="923">
          <cell r="A923">
            <v>-3.0199999999999999E-6</v>
          </cell>
          <cell r="B923">
            <v>3.2214823761000003E-2</v>
          </cell>
        </row>
        <row r="924">
          <cell r="A924">
            <v>-3.0149999999999999E-6</v>
          </cell>
          <cell r="B924">
            <v>2.9802763485000001E-2</v>
          </cell>
        </row>
        <row r="925">
          <cell r="A925">
            <v>-3.01E-6</v>
          </cell>
          <cell r="B925">
            <v>3.0606783576999998E-2</v>
          </cell>
        </row>
        <row r="926">
          <cell r="A926">
            <v>-3.005E-6</v>
          </cell>
          <cell r="B926">
            <v>2.9802763485000001E-2</v>
          </cell>
        </row>
        <row r="927">
          <cell r="A927">
            <v>-3.0000000000000001E-6</v>
          </cell>
          <cell r="B927">
            <v>2.8998743393000001E-2</v>
          </cell>
        </row>
        <row r="928">
          <cell r="A928">
            <v>-2.9950000000000001E-6</v>
          </cell>
          <cell r="B928">
            <v>2.9802763485000001E-2</v>
          </cell>
        </row>
        <row r="929">
          <cell r="A929">
            <v>-2.9900000000000002E-6</v>
          </cell>
          <cell r="B929">
            <v>3.2214823761000003E-2</v>
          </cell>
        </row>
        <row r="930">
          <cell r="A930">
            <v>-2.9849999999999998E-6</v>
          </cell>
          <cell r="B930">
            <v>3.2214823761000003E-2</v>
          </cell>
        </row>
        <row r="931">
          <cell r="A931">
            <v>-2.9799999999999998E-6</v>
          </cell>
          <cell r="B931">
            <v>2.9802763485000001E-2</v>
          </cell>
        </row>
        <row r="932">
          <cell r="A932">
            <v>-2.9749999999999999E-6</v>
          </cell>
          <cell r="B932">
            <v>3.1410803669000002E-2</v>
          </cell>
        </row>
        <row r="933">
          <cell r="A933">
            <v>-2.9699999999999999E-6</v>
          </cell>
          <cell r="B933">
            <v>2.9802763485000001E-2</v>
          </cell>
        </row>
        <row r="934">
          <cell r="A934">
            <v>-2.965E-6</v>
          </cell>
          <cell r="B934">
            <v>2.8998743393000001E-2</v>
          </cell>
        </row>
        <row r="935">
          <cell r="A935">
            <v>-2.96E-6</v>
          </cell>
          <cell r="B935">
            <v>3.2214823761000003E-2</v>
          </cell>
        </row>
        <row r="936">
          <cell r="A936">
            <v>-2.9550000000000001E-6</v>
          </cell>
          <cell r="B936">
            <v>3.1410803669000002E-2</v>
          </cell>
        </row>
        <row r="937">
          <cell r="A937">
            <v>-2.9500000000000001E-6</v>
          </cell>
          <cell r="B937">
            <v>3.2214823761000003E-2</v>
          </cell>
        </row>
        <row r="938">
          <cell r="A938">
            <v>-2.9450000000000002E-6</v>
          </cell>
          <cell r="B938">
            <v>3.1410803669000002E-2</v>
          </cell>
        </row>
        <row r="939">
          <cell r="A939">
            <v>-2.9399999999999998E-6</v>
          </cell>
          <cell r="B939">
            <v>3.2214823761000003E-2</v>
          </cell>
        </row>
        <row r="940">
          <cell r="A940">
            <v>-2.9349999999999999E-6</v>
          </cell>
          <cell r="B940">
            <v>2.9802763485000001E-2</v>
          </cell>
        </row>
        <row r="941">
          <cell r="A941">
            <v>-2.9299999999999999E-6</v>
          </cell>
          <cell r="B941">
            <v>3.0606783576999998E-2</v>
          </cell>
        </row>
        <row r="942">
          <cell r="A942">
            <v>-2.9249999999999999E-6</v>
          </cell>
          <cell r="B942">
            <v>3.2214823761000003E-2</v>
          </cell>
        </row>
        <row r="943">
          <cell r="A943">
            <v>-2.92E-6</v>
          </cell>
          <cell r="B943">
            <v>3.3018843853000003E-2</v>
          </cell>
        </row>
        <row r="944">
          <cell r="A944">
            <v>-2.915E-6</v>
          </cell>
          <cell r="B944">
            <v>3.3018843853000003E-2</v>
          </cell>
        </row>
        <row r="945">
          <cell r="A945">
            <v>-2.9100000000000001E-6</v>
          </cell>
          <cell r="B945">
            <v>3.3018843853000003E-2</v>
          </cell>
        </row>
        <row r="946">
          <cell r="A946">
            <v>-2.9050000000000001E-6</v>
          </cell>
          <cell r="B946">
            <v>3.3822863944999997E-2</v>
          </cell>
        </row>
        <row r="947">
          <cell r="A947">
            <v>-2.9000000000000002E-6</v>
          </cell>
          <cell r="B947">
            <v>2.9802763485000001E-2</v>
          </cell>
        </row>
        <row r="948">
          <cell r="A948">
            <v>-2.8949999999999998E-6</v>
          </cell>
          <cell r="B948">
            <v>3.2214823761000003E-2</v>
          </cell>
        </row>
        <row r="949">
          <cell r="A949">
            <v>-2.8899999999999999E-6</v>
          </cell>
          <cell r="B949">
            <v>2.8998743393000001E-2</v>
          </cell>
        </row>
        <row r="950">
          <cell r="A950">
            <v>-2.8849999999999999E-6</v>
          </cell>
          <cell r="B950">
            <v>3.0606783576999998E-2</v>
          </cell>
        </row>
        <row r="951">
          <cell r="A951">
            <v>-2.88E-6</v>
          </cell>
          <cell r="B951">
            <v>3.0606783576999998E-2</v>
          </cell>
        </row>
        <row r="952">
          <cell r="A952">
            <v>-2.875E-6</v>
          </cell>
          <cell r="B952">
            <v>2.9802763485000001E-2</v>
          </cell>
        </row>
        <row r="953">
          <cell r="A953">
            <v>-2.8700000000000001E-6</v>
          </cell>
          <cell r="B953">
            <v>3.1410803669000002E-2</v>
          </cell>
        </row>
        <row r="954">
          <cell r="A954">
            <v>-2.8650000000000001E-6</v>
          </cell>
          <cell r="B954">
            <v>3.3822863944999997E-2</v>
          </cell>
        </row>
        <row r="955">
          <cell r="A955">
            <v>-2.8600000000000001E-6</v>
          </cell>
          <cell r="B955">
            <v>3.3018843853000003E-2</v>
          </cell>
        </row>
        <row r="956">
          <cell r="A956">
            <v>-2.8550000000000002E-6</v>
          </cell>
          <cell r="B956">
            <v>3.2214823761000003E-2</v>
          </cell>
        </row>
        <row r="957">
          <cell r="A957">
            <v>-2.8499999999999998E-6</v>
          </cell>
          <cell r="B957">
            <v>2.9802763485000001E-2</v>
          </cell>
        </row>
        <row r="958">
          <cell r="A958">
            <v>-2.8449999999999999E-6</v>
          </cell>
          <cell r="B958">
            <v>3.3018843853000003E-2</v>
          </cell>
        </row>
        <row r="959">
          <cell r="A959">
            <v>-2.8399999999999999E-6</v>
          </cell>
          <cell r="B959">
            <v>3.1410803669000002E-2</v>
          </cell>
        </row>
        <row r="960">
          <cell r="A960">
            <v>-2.835E-6</v>
          </cell>
          <cell r="B960">
            <v>3.3822863944999997E-2</v>
          </cell>
        </row>
        <row r="961">
          <cell r="A961">
            <v>-2.83E-6</v>
          </cell>
          <cell r="B961">
            <v>3.0606783576999998E-2</v>
          </cell>
        </row>
        <row r="962">
          <cell r="A962">
            <v>-2.8250000000000001E-6</v>
          </cell>
          <cell r="B962">
            <v>3.2214823761000003E-2</v>
          </cell>
        </row>
        <row r="963">
          <cell r="A963">
            <v>-2.8200000000000001E-6</v>
          </cell>
          <cell r="B963">
            <v>3.0606783576999998E-2</v>
          </cell>
        </row>
        <row r="964">
          <cell r="A964">
            <v>-2.8150000000000002E-6</v>
          </cell>
          <cell r="B964">
            <v>3.1410803669000002E-2</v>
          </cell>
        </row>
        <row r="965">
          <cell r="A965">
            <v>-2.8100000000000002E-6</v>
          </cell>
          <cell r="B965">
            <v>3.1410803669000002E-2</v>
          </cell>
        </row>
        <row r="966">
          <cell r="A966">
            <v>-2.8049999999999998E-6</v>
          </cell>
          <cell r="B966">
            <v>2.9802763485000001E-2</v>
          </cell>
        </row>
        <row r="967">
          <cell r="A967">
            <v>-2.7999999999999999E-6</v>
          </cell>
          <cell r="B967">
            <v>3.0606783576999998E-2</v>
          </cell>
        </row>
        <row r="968">
          <cell r="A968">
            <v>-2.7949999999999999E-6</v>
          </cell>
          <cell r="B968">
            <v>3.1410803669000002E-2</v>
          </cell>
        </row>
        <row r="969">
          <cell r="A969">
            <v>-2.79E-6</v>
          </cell>
          <cell r="B969">
            <v>3.1410803669000002E-2</v>
          </cell>
        </row>
        <row r="970">
          <cell r="A970">
            <v>-2.785E-6</v>
          </cell>
          <cell r="B970">
            <v>2.9802763485000001E-2</v>
          </cell>
        </row>
        <row r="971">
          <cell r="A971">
            <v>-2.7800000000000001E-6</v>
          </cell>
          <cell r="B971">
            <v>3.0606783576999998E-2</v>
          </cell>
        </row>
        <row r="972">
          <cell r="A972">
            <v>-2.7750000000000001E-6</v>
          </cell>
          <cell r="B972">
            <v>2.8194723301000001E-2</v>
          </cell>
        </row>
        <row r="973">
          <cell r="A973">
            <v>-2.7700000000000002E-6</v>
          </cell>
          <cell r="B973">
            <v>3.5430904128999997E-2</v>
          </cell>
        </row>
        <row r="974">
          <cell r="A974">
            <v>-2.7650000000000002E-6</v>
          </cell>
          <cell r="B974">
            <v>2.8998743394E-2</v>
          </cell>
        </row>
        <row r="975">
          <cell r="A975">
            <v>-2.7599999999999998E-6</v>
          </cell>
          <cell r="B975">
            <v>3.1410803669000002E-2</v>
          </cell>
        </row>
        <row r="976">
          <cell r="A976">
            <v>-2.7549999999999999E-6</v>
          </cell>
          <cell r="B976">
            <v>3.2214823761000003E-2</v>
          </cell>
        </row>
        <row r="977">
          <cell r="A977">
            <v>-2.7499999999999999E-6</v>
          </cell>
          <cell r="B977">
            <v>2.9802763485000001E-2</v>
          </cell>
        </row>
        <row r="978">
          <cell r="A978">
            <v>-2.745E-6</v>
          </cell>
          <cell r="B978">
            <v>3.0606783576999998E-2</v>
          </cell>
        </row>
        <row r="979">
          <cell r="A979">
            <v>-2.74E-6</v>
          </cell>
          <cell r="B979">
            <v>2.9802763485000001E-2</v>
          </cell>
        </row>
        <row r="980">
          <cell r="A980">
            <v>-2.7350000000000001E-6</v>
          </cell>
          <cell r="B980">
            <v>3.0606783576999998E-2</v>
          </cell>
        </row>
        <row r="981">
          <cell r="A981">
            <v>-2.7300000000000001E-6</v>
          </cell>
          <cell r="B981">
            <v>2.7390703209999999E-2</v>
          </cell>
        </row>
        <row r="982">
          <cell r="A982">
            <v>-2.7250000000000002E-6</v>
          </cell>
          <cell r="B982">
            <v>3.2214823761000003E-2</v>
          </cell>
        </row>
        <row r="983">
          <cell r="A983">
            <v>-2.7199999999999998E-6</v>
          </cell>
          <cell r="B983">
            <v>2.8194723301000001E-2</v>
          </cell>
        </row>
        <row r="984">
          <cell r="A984">
            <v>-2.7149999999999998E-6</v>
          </cell>
          <cell r="B984">
            <v>2.8194723301999999E-2</v>
          </cell>
        </row>
        <row r="985">
          <cell r="A985">
            <v>-2.7099999999999999E-6</v>
          </cell>
          <cell r="B985">
            <v>3.1410803669000002E-2</v>
          </cell>
        </row>
        <row r="986">
          <cell r="A986">
            <v>-2.7049999999999999E-6</v>
          </cell>
          <cell r="B986">
            <v>2.9802763485000001E-2</v>
          </cell>
        </row>
        <row r="987">
          <cell r="A987">
            <v>-2.7E-6</v>
          </cell>
          <cell r="B987">
            <v>3.0606783576999998E-2</v>
          </cell>
        </row>
        <row r="988">
          <cell r="A988">
            <v>-2.695E-6</v>
          </cell>
          <cell r="B988">
            <v>2.8998743393000001E-2</v>
          </cell>
        </row>
        <row r="989">
          <cell r="A989">
            <v>-2.6900000000000001E-6</v>
          </cell>
          <cell r="B989">
            <v>3.1410803669000002E-2</v>
          </cell>
        </row>
        <row r="990">
          <cell r="A990">
            <v>-2.6850000000000001E-6</v>
          </cell>
          <cell r="B990">
            <v>2.8998743394E-2</v>
          </cell>
        </row>
        <row r="991">
          <cell r="A991">
            <v>-2.6800000000000002E-6</v>
          </cell>
          <cell r="B991">
            <v>3.1410803669000002E-2</v>
          </cell>
        </row>
        <row r="992">
          <cell r="A992">
            <v>-2.6749999999999998E-6</v>
          </cell>
          <cell r="B992">
            <v>3.1410803669000002E-2</v>
          </cell>
        </row>
        <row r="993">
          <cell r="A993">
            <v>-2.6699999999999998E-6</v>
          </cell>
          <cell r="B993">
            <v>3.1410803669000002E-2</v>
          </cell>
        </row>
        <row r="994">
          <cell r="A994">
            <v>-2.6649999999999999E-6</v>
          </cell>
          <cell r="B994">
            <v>3.2214823761000003E-2</v>
          </cell>
        </row>
        <row r="995">
          <cell r="A995">
            <v>-2.6599999999999999E-6</v>
          </cell>
          <cell r="B995">
            <v>2.8194723301999999E-2</v>
          </cell>
        </row>
        <row r="996">
          <cell r="A996">
            <v>-2.655E-6</v>
          </cell>
          <cell r="B996">
            <v>3.1410803669000002E-2</v>
          </cell>
        </row>
        <row r="997">
          <cell r="A997">
            <v>-2.65E-6</v>
          </cell>
          <cell r="B997">
            <v>2.7390703209999999E-2</v>
          </cell>
        </row>
        <row r="998">
          <cell r="A998">
            <v>-2.6450000000000001E-6</v>
          </cell>
          <cell r="B998">
            <v>2.9802763486E-2</v>
          </cell>
        </row>
        <row r="999">
          <cell r="A999">
            <v>-2.6400000000000001E-6</v>
          </cell>
          <cell r="B999">
            <v>3.2214823761000003E-2</v>
          </cell>
        </row>
        <row r="1000">
          <cell r="A1000">
            <v>-2.6350000000000002E-6</v>
          </cell>
          <cell r="B1000">
            <v>2.9802763485000001E-2</v>
          </cell>
        </row>
        <row r="1001">
          <cell r="A1001">
            <v>-2.6299999999999998E-6</v>
          </cell>
          <cell r="B1001">
            <v>2.8998743393000001E-2</v>
          </cell>
        </row>
        <row r="1002">
          <cell r="A1002">
            <v>-2.6249999999999999E-6</v>
          </cell>
          <cell r="B1002">
            <v>3.1410803669000002E-2</v>
          </cell>
        </row>
        <row r="1003">
          <cell r="A1003">
            <v>-2.6199999999999999E-6</v>
          </cell>
          <cell r="B1003">
            <v>3.1410803669000002E-2</v>
          </cell>
        </row>
        <row r="1004">
          <cell r="A1004">
            <v>-2.615E-6</v>
          </cell>
          <cell r="B1004">
            <v>2.8998743393000001E-2</v>
          </cell>
        </row>
        <row r="1005">
          <cell r="A1005">
            <v>-2.61E-6</v>
          </cell>
          <cell r="B1005">
            <v>3.1410803669000002E-2</v>
          </cell>
        </row>
        <row r="1006">
          <cell r="A1006">
            <v>-2.605E-6</v>
          </cell>
          <cell r="B1006">
            <v>3.1410803669000002E-2</v>
          </cell>
        </row>
        <row r="1007">
          <cell r="A1007">
            <v>-2.6000000000000001E-6</v>
          </cell>
          <cell r="B1007">
            <v>2.7390703209999999E-2</v>
          </cell>
        </row>
        <row r="1008">
          <cell r="A1008">
            <v>-2.5950000000000001E-6</v>
          </cell>
          <cell r="B1008">
            <v>3.1410803669000002E-2</v>
          </cell>
        </row>
        <row r="1009">
          <cell r="A1009">
            <v>-2.5900000000000002E-6</v>
          </cell>
          <cell r="B1009">
            <v>2.7390703209999999E-2</v>
          </cell>
        </row>
        <row r="1010">
          <cell r="A1010">
            <v>-2.5849999999999998E-6</v>
          </cell>
          <cell r="B1010">
            <v>3.3822863944999997E-2</v>
          </cell>
        </row>
        <row r="1011">
          <cell r="A1011">
            <v>-2.5799999999999999E-6</v>
          </cell>
          <cell r="B1011">
            <v>2.9802763485000001E-2</v>
          </cell>
        </row>
        <row r="1012">
          <cell r="A1012">
            <v>-2.5749999999999999E-6</v>
          </cell>
          <cell r="B1012">
            <v>2.8998743393000001E-2</v>
          </cell>
        </row>
        <row r="1013">
          <cell r="A1013">
            <v>-2.57E-6</v>
          </cell>
          <cell r="B1013">
            <v>2.8998743394E-2</v>
          </cell>
        </row>
        <row r="1014">
          <cell r="A1014">
            <v>-2.565E-6</v>
          </cell>
          <cell r="B1014">
            <v>2.8998743394E-2</v>
          </cell>
        </row>
        <row r="1015">
          <cell r="A1015">
            <v>-2.5600000000000001E-6</v>
          </cell>
          <cell r="B1015">
            <v>3.2214823761000003E-2</v>
          </cell>
        </row>
        <row r="1016">
          <cell r="A1016">
            <v>-2.5550000000000001E-6</v>
          </cell>
          <cell r="B1016">
            <v>3.2214823761000003E-2</v>
          </cell>
        </row>
        <row r="1017">
          <cell r="A1017">
            <v>-2.5500000000000001E-6</v>
          </cell>
          <cell r="B1017">
            <v>2.9802763486E-2</v>
          </cell>
        </row>
        <row r="1018">
          <cell r="A1018">
            <v>-2.5450000000000002E-6</v>
          </cell>
          <cell r="B1018">
            <v>3.6234924219999999E-2</v>
          </cell>
        </row>
        <row r="1019">
          <cell r="A1019">
            <v>-2.5399999999999998E-6</v>
          </cell>
          <cell r="B1019">
            <v>3.2214823761000003E-2</v>
          </cell>
        </row>
        <row r="1020">
          <cell r="A1020">
            <v>-2.5349999999999999E-6</v>
          </cell>
          <cell r="B1020">
            <v>3.2214823761000003E-2</v>
          </cell>
        </row>
        <row r="1021">
          <cell r="A1021">
            <v>-2.5299999999999999E-6</v>
          </cell>
          <cell r="B1021">
            <v>3.1410803669000002E-2</v>
          </cell>
        </row>
        <row r="1022">
          <cell r="A1022">
            <v>-2.525E-6</v>
          </cell>
          <cell r="B1022">
            <v>3.3822863944999997E-2</v>
          </cell>
        </row>
        <row r="1023">
          <cell r="A1023">
            <v>-2.52E-6</v>
          </cell>
          <cell r="B1023">
            <v>3.0606783576999998E-2</v>
          </cell>
        </row>
        <row r="1024">
          <cell r="A1024">
            <v>-2.5150000000000001E-6</v>
          </cell>
          <cell r="B1024">
            <v>3.0606783576999998E-2</v>
          </cell>
        </row>
        <row r="1025">
          <cell r="A1025">
            <v>-2.5100000000000001E-6</v>
          </cell>
          <cell r="B1025">
            <v>3.3018843853000003E-2</v>
          </cell>
        </row>
        <row r="1026">
          <cell r="A1026">
            <v>-2.5050000000000002E-6</v>
          </cell>
          <cell r="B1026">
            <v>3.1410803669000002E-2</v>
          </cell>
        </row>
        <row r="1027">
          <cell r="A1027">
            <v>-2.5000000000000002E-6</v>
          </cell>
          <cell r="B1027">
            <v>3.3018843853000003E-2</v>
          </cell>
        </row>
        <row r="1028">
          <cell r="A1028">
            <v>-2.4949999999999998E-6</v>
          </cell>
          <cell r="B1028">
            <v>3.3018843853000003E-2</v>
          </cell>
        </row>
        <row r="1029">
          <cell r="A1029">
            <v>-2.4899999999999999E-6</v>
          </cell>
          <cell r="B1029">
            <v>3.2214823761000003E-2</v>
          </cell>
        </row>
        <row r="1030">
          <cell r="A1030">
            <v>-2.4849999999999999E-6</v>
          </cell>
          <cell r="B1030">
            <v>3.0606783576999998E-2</v>
          </cell>
        </row>
        <row r="1031">
          <cell r="A1031">
            <v>-2.48E-6</v>
          </cell>
          <cell r="B1031">
            <v>3.1410803669000002E-2</v>
          </cell>
        </row>
        <row r="1032">
          <cell r="A1032">
            <v>-2.475E-6</v>
          </cell>
          <cell r="B1032">
            <v>3.2214823761000003E-2</v>
          </cell>
        </row>
        <row r="1033">
          <cell r="A1033">
            <v>-2.4700000000000001E-6</v>
          </cell>
          <cell r="B1033">
            <v>3.1410803669000002E-2</v>
          </cell>
        </row>
        <row r="1034">
          <cell r="A1034">
            <v>-2.4650000000000001E-6</v>
          </cell>
          <cell r="B1034">
            <v>3.1410803669000002E-2</v>
          </cell>
        </row>
        <row r="1035">
          <cell r="A1035">
            <v>-2.4600000000000002E-6</v>
          </cell>
          <cell r="B1035">
            <v>3.3822863944999997E-2</v>
          </cell>
        </row>
        <row r="1036">
          <cell r="A1036">
            <v>-2.4550000000000002E-6</v>
          </cell>
          <cell r="B1036">
            <v>2.9802763485000001E-2</v>
          </cell>
        </row>
        <row r="1037">
          <cell r="A1037">
            <v>-2.4499999999999998E-6</v>
          </cell>
          <cell r="B1037">
            <v>3.1410803669000002E-2</v>
          </cell>
        </row>
        <row r="1038">
          <cell r="A1038">
            <v>-2.4449999999999999E-6</v>
          </cell>
          <cell r="B1038">
            <v>3.2214823761000003E-2</v>
          </cell>
        </row>
        <row r="1039">
          <cell r="A1039">
            <v>-2.4399999999999999E-6</v>
          </cell>
          <cell r="B1039">
            <v>3.2214823761000003E-2</v>
          </cell>
        </row>
        <row r="1040">
          <cell r="A1040">
            <v>-2.435E-6</v>
          </cell>
          <cell r="B1040">
            <v>2.9802763485000001E-2</v>
          </cell>
        </row>
        <row r="1041">
          <cell r="A1041">
            <v>-2.43E-6</v>
          </cell>
          <cell r="B1041">
            <v>3.3018843853000003E-2</v>
          </cell>
        </row>
        <row r="1042">
          <cell r="A1042">
            <v>-2.4250000000000001E-6</v>
          </cell>
          <cell r="B1042">
            <v>2.9802763485000001E-2</v>
          </cell>
        </row>
        <row r="1043">
          <cell r="A1043">
            <v>-2.4200000000000001E-6</v>
          </cell>
          <cell r="B1043">
            <v>2.9802763485000001E-2</v>
          </cell>
        </row>
        <row r="1044">
          <cell r="A1044">
            <v>-2.4150000000000002E-6</v>
          </cell>
          <cell r="B1044">
            <v>2.8998743393000001E-2</v>
          </cell>
        </row>
        <row r="1045">
          <cell r="A1045">
            <v>-2.4099999999999998E-6</v>
          </cell>
          <cell r="B1045">
            <v>3.1410803669000002E-2</v>
          </cell>
        </row>
        <row r="1046">
          <cell r="A1046">
            <v>-2.4049999999999998E-6</v>
          </cell>
          <cell r="B1046">
            <v>3.0606783576999998E-2</v>
          </cell>
        </row>
        <row r="1047">
          <cell r="A1047">
            <v>-2.3999999999999999E-6</v>
          </cell>
          <cell r="B1047">
            <v>3.2214823761000003E-2</v>
          </cell>
        </row>
        <row r="1048">
          <cell r="A1048">
            <v>-2.3949999999999999E-6</v>
          </cell>
          <cell r="B1048">
            <v>3.3018843853000003E-2</v>
          </cell>
        </row>
        <row r="1049">
          <cell r="A1049">
            <v>-2.39E-6</v>
          </cell>
          <cell r="B1049">
            <v>2.8194723301000001E-2</v>
          </cell>
        </row>
        <row r="1050">
          <cell r="A1050">
            <v>-2.385E-6</v>
          </cell>
          <cell r="B1050">
            <v>3.1410803669000002E-2</v>
          </cell>
        </row>
        <row r="1051">
          <cell r="A1051">
            <v>-2.3800000000000001E-6</v>
          </cell>
          <cell r="B1051">
            <v>2.7390703209999999E-2</v>
          </cell>
        </row>
        <row r="1052">
          <cell r="A1052">
            <v>-2.3750000000000001E-6</v>
          </cell>
          <cell r="B1052">
            <v>2.9802763485000001E-2</v>
          </cell>
        </row>
        <row r="1053">
          <cell r="A1053">
            <v>-2.3700000000000002E-6</v>
          </cell>
          <cell r="B1053">
            <v>2.8194723301999999E-2</v>
          </cell>
        </row>
        <row r="1054">
          <cell r="A1054">
            <v>-2.3649999999999998E-6</v>
          </cell>
          <cell r="B1054">
            <v>3.2214823761000003E-2</v>
          </cell>
        </row>
        <row r="1055">
          <cell r="A1055">
            <v>-2.3599999999999999E-6</v>
          </cell>
          <cell r="B1055">
            <v>3.0606783576999998E-2</v>
          </cell>
        </row>
        <row r="1056">
          <cell r="A1056">
            <v>-2.3549999999999999E-6</v>
          </cell>
          <cell r="B1056">
            <v>3.1410803669000002E-2</v>
          </cell>
        </row>
        <row r="1057">
          <cell r="A1057">
            <v>-2.3499999999999999E-6</v>
          </cell>
          <cell r="B1057">
            <v>3.1410803669000002E-2</v>
          </cell>
        </row>
        <row r="1058">
          <cell r="A1058">
            <v>-2.345E-6</v>
          </cell>
          <cell r="B1058">
            <v>2.9802763485000001E-2</v>
          </cell>
        </row>
        <row r="1059">
          <cell r="A1059">
            <v>-2.34E-6</v>
          </cell>
          <cell r="B1059">
            <v>3.1410803669000002E-2</v>
          </cell>
        </row>
        <row r="1060">
          <cell r="A1060">
            <v>-2.3350000000000001E-6</v>
          </cell>
          <cell r="B1060">
            <v>3.3018843853000003E-2</v>
          </cell>
        </row>
        <row r="1061">
          <cell r="A1061">
            <v>-2.3300000000000001E-6</v>
          </cell>
          <cell r="B1061">
            <v>2.9802763485000001E-2</v>
          </cell>
        </row>
        <row r="1062">
          <cell r="A1062">
            <v>-2.3250000000000002E-6</v>
          </cell>
          <cell r="B1062">
            <v>2.8998743394E-2</v>
          </cell>
        </row>
        <row r="1063">
          <cell r="A1063">
            <v>-2.3199999999999998E-6</v>
          </cell>
          <cell r="B1063">
            <v>2.7390703209999999E-2</v>
          </cell>
        </row>
        <row r="1064">
          <cell r="A1064">
            <v>-2.3149999999999999E-6</v>
          </cell>
          <cell r="B1064">
            <v>2.9802763485000001E-2</v>
          </cell>
        </row>
        <row r="1065">
          <cell r="A1065">
            <v>-2.3099999999999999E-6</v>
          </cell>
          <cell r="B1065">
            <v>2.9802763485000001E-2</v>
          </cell>
        </row>
        <row r="1066">
          <cell r="A1066">
            <v>-2.305E-6</v>
          </cell>
          <cell r="B1066">
            <v>3.4626884035999998E-2</v>
          </cell>
        </row>
        <row r="1067">
          <cell r="A1067">
            <v>-2.3E-6</v>
          </cell>
          <cell r="B1067">
            <v>2.8998743394E-2</v>
          </cell>
        </row>
        <row r="1068">
          <cell r="A1068">
            <v>-2.295E-6</v>
          </cell>
          <cell r="B1068">
            <v>2.8998743393000001E-2</v>
          </cell>
        </row>
        <row r="1069">
          <cell r="A1069">
            <v>-2.2900000000000001E-6</v>
          </cell>
          <cell r="B1069">
            <v>3.3018843853000003E-2</v>
          </cell>
        </row>
        <row r="1070">
          <cell r="A1070">
            <v>-2.2850000000000001E-6</v>
          </cell>
          <cell r="B1070">
            <v>3.0606783576999998E-2</v>
          </cell>
        </row>
        <row r="1071">
          <cell r="A1071">
            <v>-2.2800000000000002E-6</v>
          </cell>
          <cell r="B1071">
            <v>3.0606783576999998E-2</v>
          </cell>
        </row>
        <row r="1072">
          <cell r="A1072">
            <v>-2.2749999999999998E-6</v>
          </cell>
          <cell r="B1072">
            <v>3.0606783576999998E-2</v>
          </cell>
        </row>
        <row r="1073">
          <cell r="A1073">
            <v>-2.2699999999999999E-6</v>
          </cell>
          <cell r="B1073">
            <v>3.2214823761000003E-2</v>
          </cell>
        </row>
        <row r="1074">
          <cell r="A1074">
            <v>-2.2649999999999999E-6</v>
          </cell>
          <cell r="B1074">
            <v>2.9802763485000001E-2</v>
          </cell>
        </row>
        <row r="1075">
          <cell r="A1075">
            <v>-2.26E-6</v>
          </cell>
          <cell r="B1075">
            <v>3.2214823761000003E-2</v>
          </cell>
        </row>
        <row r="1076">
          <cell r="A1076">
            <v>-2.255E-6</v>
          </cell>
          <cell r="B1076">
            <v>2.8998743394E-2</v>
          </cell>
        </row>
        <row r="1077">
          <cell r="A1077">
            <v>-2.2500000000000001E-6</v>
          </cell>
          <cell r="B1077">
            <v>2.9802763486E-2</v>
          </cell>
        </row>
        <row r="1078">
          <cell r="A1078">
            <v>-2.2450000000000001E-6</v>
          </cell>
          <cell r="B1078">
            <v>3.3018843853000003E-2</v>
          </cell>
        </row>
        <row r="1079">
          <cell r="A1079">
            <v>-2.2400000000000002E-6</v>
          </cell>
          <cell r="B1079">
            <v>3.0606783576999998E-2</v>
          </cell>
        </row>
        <row r="1080">
          <cell r="A1080">
            <v>-2.2350000000000002E-6</v>
          </cell>
          <cell r="B1080">
            <v>3.1410803669000002E-2</v>
          </cell>
        </row>
        <row r="1081">
          <cell r="A1081">
            <v>-2.2299999999999998E-6</v>
          </cell>
          <cell r="B1081">
            <v>3.1410803669000002E-2</v>
          </cell>
        </row>
        <row r="1082">
          <cell r="A1082">
            <v>-2.2249999999999999E-6</v>
          </cell>
          <cell r="B1082">
            <v>3.2214823761000003E-2</v>
          </cell>
        </row>
        <row r="1083">
          <cell r="A1083">
            <v>-2.2199999999999999E-6</v>
          </cell>
          <cell r="B1083">
            <v>3.0606783576999998E-2</v>
          </cell>
        </row>
        <row r="1084">
          <cell r="A1084">
            <v>-2.215E-6</v>
          </cell>
          <cell r="B1084">
            <v>2.9802763485000001E-2</v>
          </cell>
        </row>
        <row r="1085">
          <cell r="A1085">
            <v>-2.21E-6</v>
          </cell>
          <cell r="B1085">
            <v>3.3018843853000003E-2</v>
          </cell>
        </row>
        <row r="1086">
          <cell r="A1086">
            <v>-2.2050000000000001E-6</v>
          </cell>
          <cell r="B1086">
            <v>3.2214823761000003E-2</v>
          </cell>
        </row>
        <row r="1087">
          <cell r="A1087">
            <v>-2.2000000000000001E-6</v>
          </cell>
          <cell r="B1087">
            <v>3.3018843853000003E-2</v>
          </cell>
        </row>
        <row r="1088">
          <cell r="A1088">
            <v>-2.1950000000000002E-6</v>
          </cell>
          <cell r="B1088">
            <v>3.1410803669000002E-2</v>
          </cell>
        </row>
        <row r="1089">
          <cell r="A1089">
            <v>-2.1900000000000002E-6</v>
          </cell>
          <cell r="B1089">
            <v>3.1410803669000002E-2</v>
          </cell>
        </row>
        <row r="1090">
          <cell r="A1090">
            <v>-2.1849999999999998E-6</v>
          </cell>
          <cell r="B1090">
            <v>3.1410803669000002E-2</v>
          </cell>
        </row>
        <row r="1091">
          <cell r="A1091">
            <v>-2.1799999999999999E-6</v>
          </cell>
          <cell r="B1091">
            <v>3.1410803669000002E-2</v>
          </cell>
        </row>
        <row r="1092">
          <cell r="A1092">
            <v>-2.1749999999999999E-6</v>
          </cell>
          <cell r="B1092">
            <v>3.3018843853000003E-2</v>
          </cell>
        </row>
        <row r="1093">
          <cell r="A1093">
            <v>-2.17E-6</v>
          </cell>
          <cell r="B1093">
            <v>3.2214823761000003E-2</v>
          </cell>
        </row>
        <row r="1094">
          <cell r="A1094">
            <v>-2.165E-6</v>
          </cell>
          <cell r="B1094">
            <v>3.2214823761000003E-2</v>
          </cell>
        </row>
        <row r="1095">
          <cell r="A1095">
            <v>-2.1600000000000001E-6</v>
          </cell>
          <cell r="B1095">
            <v>2.9802763485000001E-2</v>
          </cell>
        </row>
        <row r="1096">
          <cell r="A1096">
            <v>-2.1550000000000001E-6</v>
          </cell>
          <cell r="B1096">
            <v>3.1410803669000002E-2</v>
          </cell>
        </row>
        <row r="1097">
          <cell r="A1097">
            <v>-2.1500000000000002E-6</v>
          </cell>
          <cell r="B1097">
            <v>3.3822863944999997E-2</v>
          </cell>
        </row>
        <row r="1098">
          <cell r="A1098">
            <v>-2.1449999999999998E-6</v>
          </cell>
          <cell r="B1098">
            <v>3.3018843853000003E-2</v>
          </cell>
        </row>
        <row r="1099">
          <cell r="A1099">
            <v>-2.1399999999999998E-6</v>
          </cell>
          <cell r="B1099">
            <v>3.3822863944999997E-2</v>
          </cell>
        </row>
        <row r="1100">
          <cell r="A1100">
            <v>-2.1349999999999999E-6</v>
          </cell>
          <cell r="B1100">
            <v>3.1410803669000002E-2</v>
          </cell>
        </row>
        <row r="1101">
          <cell r="A1101">
            <v>-2.1299999999999999E-6</v>
          </cell>
          <cell r="B1101">
            <v>3.2214823761000003E-2</v>
          </cell>
        </row>
        <row r="1102">
          <cell r="A1102">
            <v>-2.125E-6</v>
          </cell>
          <cell r="B1102">
            <v>3.2214823761000003E-2</v>
          </cell>
        </row>
        <row r="1103">
          <cell r="A1103">
            <v>-2.12E-6</v>
          </cell>
          <cell r="B1103">
            <v>3.0606783576999998E-2</v>
          </cell>
        </row>
        <row r="1104">
          <cell r="A1104">
            <v>-2.1150000000000001E-6</v>
          </cell>
          <cell r="B1104">
            <v>3.1410803669000002E-2</v>
          </cell>
        </row>
        <row r="1105">
          <cell r="A1105">
            <v>-2.1100000000000001E-6</v>
          </cell>
          <cell r="B1105">
            <v>2.9802763485000001E-2</v>
          </cell>
        </row>
        <row r="1106">
          <cell r="A1106">
            <v>-2.1050000000000002E-6</v>
          </cell>
          <cell r="B1106">
            <v>3.0606783576999998E-2</v>
          </cell>
        </row>
        <row r="1107">
          <cell r="A1107">
            <v>-2.0999999999999998E-6</v>
          </cell>
          <cell r="B1107">
            <v>2.8194723301999999E-2</v>
          </cell>
        </row>
        <row r="1108">
          <cell r="A1108">
            <v>-2.0949999999999998E-6</v>
          </cell>
          <cell r="B1108">
            <v>3.2214823761000003E-2</v>
          </cell>
        </row>
        <row r="1109">
          <cell r="A1109">
            <v>-2.0899999999999999E-6</v>
          </cell>
          <cell r="B1109">
            <v>3.0606783576999998E-2</v>
          </cell>
        </row>
        <row r="1110">
          <cell r="A1110">
            <v>-2.0849999999999999E-6</v>
          </cell>
          <cell r="B1110">
            <v>3.0606783576999998E-2</v>
          </cell>
        </row>
        <row r="1111">
          <cell r="A1111">
            <v>-2.08E-6</v>
          </cell>
          <cell r="B1111">
            <v>3.1410803669000002E-2</v>
          </cell>
        </row>
        <row r="1112">
          <cell r="A1112">
            <v>-2.075E-6</v>
          </cell>
          <cell r="B1112">
            <v>3.1410803669000002E-2</v>
          </cell>
        </row>
        <row r="1113">
          <cell r="A1113">
            <v>-2.0700000000000001E-6</v>
          </cell>
          <cell r="B1113">
            <v>3.2214823761000003E-2</v>
          </cell>
        </row>
        <row r="1114">
          <cell r="A1114">
            <v>-2.0650000000000001E-6</v>
          </cell>
          <cell r="B1114">
            <v>2.8194723301999999E-2</v>
          </cell>
        </row>
        <row r="1115">
          <cell r="A1115">
            <v>-2.0600000000000002E-6</v>
          </cell>
          <cell r="B1115">
            <v>3.0606783576999998E-2</v>
          </cell>
        </row>
        <row r="1116">
          <cell r="A1116">
            <v>-2.0549999999999998E-6</v>
          </cell>
          <cell r="B1116">
            <v>3.2214823761000003E-2</v>
          </cell>
        </row>
        <row r="1117">
          <cell r="A1117">
            <v>-2.0499999999999999E-6</v>
          </cell>
          <cell r="B1117">
            <v>2.9802763485000001E-2</v>
          </cell>
        </row>
        <row r="1118">
          <cell r="A1118">
            <v>-2.0449999999999999E-6</v>
          </cell>
          <cell r="B1118">
            <v>2.8194723301000001E-2</v>
          </cell>
        </row>
        <row r="1119">
          <cell r="A1119">
            <v>-2.04E-6</v>
          </cell>
          <cell r="B1119">
            <v>3.0606783576999998E-2</v>
          </cell>
        </row>
        <row r="1120">
          <cell r="A1120">
            <v>-2.035E-6</v>
          </cell>
          <cell r="B1120">
            <v>3.1410803669000002E-2</v>
          </cell>
        </row>
        <row r="1121">
          <cell r="A1121">
            <v>-2.03E-6</v>
          </cell>
          <cell r="B1121">
            <v>2.8998743394E-2</v>
          </cell>
        </row>
        <row r="1122">
          <cell r="A1122">
            <v>-2.0250000000000001E-6</v>
          </cell>
          <cell r="B1122">
            <v>3.1410803669000002E-2</v>
          </cell>
        </row>
        <row r="1123">
          <cell r="A1123">
            <v>-2.0200000000000001E-6</v>
          </cell>
          <cell r="B1123">
            <v>2.8998743393000001E-2</v>
          </cell>
        </row>
        <row r="1124">
          <cell r="A1124">
            <v>-2.0150000000000002E-6</v>
          </cell>
          <cell r="B1124">
            <v>2.8998743393000001E-2</v>
          </cell>
        </row>
        <row r="1125">
          <cell r="A1125">
            <v>-2.0099999999999998E-6</v>
          </cell>
          <cell r="B1125">
            <v>2.9802763485000001E-2</v>
          </cell>
        </row>
        <row r="1126">
          <cell r="A1126">
            <v>-2.0049999999999999E-6</v>
          </cell>
          <cell r="B1126">
            <v>2.9802763485000001E-2</v>
          </cell>
        </row>
        <row r="1127">
          <cell r="A1127">
            <v>-1.9999999999999999E-6</v>
          </cell>
          <cell r="B1127">
            <v>3.0606783576999998E-2</v>
          </cell>
        </row>
        <row r="1128">
          <cell r="A1128">
            <v>-1.995E-6</v>
          </cell>
          <cell r="B1128">
            <v>2.7390703209999999E-2</v>
          </cell>
        </row>
        <row r="1129">
          <cell r="A1129">
            <v>-1.99E-6</v>
          </cell>
          <cell r="B1129">
            <v>3.0606783576999998E-2</v>
          </cell>
        </row>
        <row r="1130">
          <cell r="A1130">
            <v>-1.9850000000000001E-6</v>
          </cell>
          <cell r="B1130">
            <v>2.8998743394E-2</v>
          </cell>
        </row>
        <row r="1131">
          <cell r="A1131">
            <v>-1.9800000000000001E-6</v>
          </cell>
          <cell r="B1131">
            <v>2.9802763485000001E-2</v>
          </cell>
        </row>
        <row r="1132">
          <cell r="A1132">
            <v>-1.9750000000000001E-6</v>
          </cell>
          <cell r="B1132">
            <v>2.9802763485000001E-2</v>
          </cell>
        </row>
        <row r="1133">
          <cell r="A1133">
            <v>-1.9700000000000002E-6</v>
          </cell>
          <cell r="B1133">
            <v>3.1410803669000002E-2</v>
          </cell>
        </row>
        <row r="1134">
          <cell r="A1134">
            <v>-1.9649999999999998E-6</v>
          </cell>
          <cell r="B1134">
            <v>3.2214823761000003E-2</v>
          </cell>
        </row>
        <row r="1135">
          <cell r="A1135">
            <v>-1.9599999999999999E-6</v>
          </cell>
          <cell r="B1135">
            <v>3.3018843853000003E-2</v>
          </cell>
        </row>
        <row r="1136">
          <cell r="A1136">
            <v>-1.9549999999999999E-6</v>
          </cell>
          <cell r="B1136">
            <v>3.0606783576999998E-2</v>
          </cell>
        </row>
        <row r="1137">
          <cell r="A1137">
            <v>-1.95E-6</v>
          </cell>
          <cell r="B1137">
            <v>3.2214823761000003E-2</v>
          </cell>
        </row>
        <row r="1138">
          <cell r="A1138">
            <v>-1.945E-6</v>
          </cell>
          <cell r="B1138">
            <v>3.3822863944999997E-2</v>
          </cell>
        </row>
        <row r="1139">
          <cell r="A1139">
            <v>-1.9400000000000001E-6</v>
          </cell>
          <cell r="B1139">
            <v>3.2214823761000003E-2</v>
          </cell>
        </row>
        <row r="1140">
          <cell r="A1140">
            <v>-1.9350000000000001E-6</v>
          </cell>
          <cell r="B1140">
            <v>3.2214823761000003E-2</v>
          </cell>
        </row>
        <row r="1141">
          <cell r="A1141">
            <v>-1.9300000000000002E-6</v>
          </cell>
          <cell r="B1141">
            <v>3.4626884036999997E-2</v>
          </cell>
        </row>
        <row r="1142">
          <cell r="A1142">
            <v>-1.9250000000000002E-6</v>
          </cell>
          <cell r="B1142">
            <v>3.0606783576999998E-2</v>
          </cell>
        </row>
        <row r="1143">
          <cell r="A1143">
            <v>-1.9199999999999998E-6</v>
          </cell>
          <cell r="B1143">
            <v>3.5430904127999999E-2</v>
          </cell>
        </row>
        <row r="1144">
          <cell r="A1144">
            <v>-1.9149999999999999E-6</v>
          </cell>
          <cell r="B1144">
            <v>2.9802763485000001E-2</v>
          </cell>
        </row>
        <row r="1145">
          <cell r="A1145">
            <v>-1.9099999999999999E-6</v>
          </cell>
          <cell r="B1145">
            <v>3.0606783576999998E-2</v>
          </cell>
        </row>
        <row r="1146">
          <cell r="A1146">
            <v>-1.905E-6</v>
          </cell>
          <cell r="B1146">
            <v>3.0606783576999998E-2</v>
          </cell>
        </row>
        <row r="1147">
          <cell r="A1147">
            <v>-1.9E-6</v>
          </cell>
          <cell r="B1147">
            <v>2.9802763485000001E-2</v>
          </cell>
        </row>
        <row r="1148">
          <cell r="A1148">
            <v>-1.8950000000000001E-6</v>
          </cell>
          <cell r="B1148">
            <v>3.0606783576999998E-2</v>
          </cell>
        </row>
        <row r="1149">
          <cell r="A1149">
            <v>-1.8899999999999999E-6</v>
          </cell>
          <cell r="B1149">
            <v>3.1410803669000002E-2</v>
          </cell>
        </row>
        <row r="1150">
          <cell r="A1150">
            <v>-1.885E-6</v>
          </cell>
          <cell r="B1150">
            <v>3.0606783576999998E-2</v>
          </cell>
        </row>
        <row r="1151">
          <cell r="A1151">
            <v>-1.88E-6</v>
          </cell>
          <cell r="B1151">
            <v>2.8998743393000001E-2</v>
          </cell>
        </row>
        <row r="1152">
          <cell r="A1152">
            <v>-1.875E-6</v>
          </cell>
          <cell r="B1152">
            <v>2.8998743394E-2</v>
          </cell>
        </row>
        <row r="1153">
          <cell r="A1153">
            <v>-1.8700000000000001E-6</v>
          </cell>
          <cell r="B1153">
            <v>3.1410803669000002E-2</v>
          </cell>
        </row>
        <row r="1154">
          <cell r="A1154">
            <v>-1.8649999999999999E-6</v>
          </cell>
          <cell r="B1154">
            <v>3.2214823761000003E-2</v>
          </cell>
        </row>
        <row r="1155">
          <cell r="A1155">
            <v>-1.86E-6</v>
          </cell>
          <cell r="B1155">
            <v>3.2214823761000003E-2</v>
          </cell>
        </row>
        <row r="1156">
          <cell r="A1156">
            <v>-1.855E-6</v>
          </cell>
          <cell r="B1156">
            <v>2.8998743393000001E-2</v>
          </cell>
        </row>
        <row r="1157">
          <cell r="A1157">
            <v>-1.8500000000000001E-6</v>
          </cell>
          <cell r="B1157">
            <v>3.0606783576999998E-2</v>
          </cell>
        </row>
        <row r="1158">
          <cell r="A1158">
            <v>-1.8449999999999999E-6</v>
          </cell>
          <cell r="B1158">
            <v>2.8194723301999999E-2</v>
          </cell>
        </row>
        <row r="1159">
          <cell r="A1159">
            <v>-1.84E-6</v>
          </cell>
          <cell r="B1159">
            <v>2.6586683117999999E-2</v>
          </cell>
        </row>
        <row r="1160">
          <cell r="A1160">
            <v>-1.835E-6</v>
          </cell>
          <cell r="B1160">
            <v>3.3822863944999997E-2</v>
          </cell>
        </row>
        <row r="1161">
          <cell r="A1161">
            <v>-1.8300000000000001E-6</v>
          </cell>
          <cell r="B1161">
            <v>2.8194723301000001E-2</v>
          </cell>
        </row>
        <row r="1162">
          <cell r="A1162">
            <v>-1.8250000000000001E-6</v>
          </cell>
          <cell r="B1162">
            <v>3.2214823761000003E-2</v>
          </cell>
        </row>
        <row r="1163">
          <cell r="A1163">
            <v>-1.8199999999999999E-6</v>
          </cell>
          <cell r="B1163">
            <v>3.3018843853000003E-2</v>
          </cell>
        </row>
        <row r="1164">
          <cell r="A1164">
            <v>-1.815E-6</v>
          </cell>
          <cell r="B1164">
            <v>2.8998743394E-2</v>
          </cell>
        </row>
        <row r="1165">
          <cell r="A1165">
            <v>-1.81E-6</v>
          </cell>
          <cell r="B1165">
            <v>3.1410803669000002E-2</v>
          </cell>
        </row>
        <row r="1166">
          <cell r="A1166">
            <v>-1.8050000000000001E-6</v>
          </cell>
          <cell r="B1166">
            <v>2.8194723301000001E-2</v>
          </cell>
        </row>
        <row r="1167">
          <cell r="A1167">
            <v>-1.7999999999999999E-6</v>
          </cell>
          <cell r="B1167">
            <v>3.1410803669000002E-2</v>
          </cell>
        </row>
        <row r="1168">
          <cell r="A1168">
            <v>-1.795E-6</v>
          </cell>
          <cell r="B1168">
            <v>3.2214823761000003E-2</v>
          </cell>
        </row>
        <row r="1169">
          <cell r="A1169">
            <v>-1.79E-6</v>
          </cell>
          <cell r="B1169">
            <v>2.8998743393000001E-2</v>
          </cell>
        </row>
        <row r="1170">
          <cell r="A1170">
            <v>-1.7850000000000001E-6</v>
          </cell>
          <cell r="B1170">
            <v>3.2214823761000003E-2</v>
          </cell>
        </row>
        <row r="1171">
          <cell r="A1171">
            <v>-1.7799999999999999E-6</v>
          </cell>
          <cell r="B1171">
            <v>3.0606783576999998E-2</v>
          </cell>
        </row>
        <row r="1172">
          <cell r="A1172">
            <v>-1.7749999999999999E-6</v>
          </cell>
          <cell r="B1172">
            <v>3.1410803669000002E-2</v>
          </cell>
        </row>
        <row r="1173">
          <cell r="A1173">
            <v>-1.77E-6</v>
          </cell>
          <cell r="B1173">
            <v>2.8998743394E-2</v>
          </cell>
        </row>
        <row r="1174">
          <cell r="A1174">
            <v>-1.765E-6</v>
          </cell>
          <cell r="B1174">
            <v>2.8194723301000001E-2</v>
          </cell>
        </row>
        <row r="1175">
          <cell r="A1175">
            <v>-1.7600000000000001E-6</v>
          </cell>
          <cell r="B1175">
            <v>3.1410803669000002E-2</v>
          </cell>
        </row>
        <row r="1176">
          <cell r="A1176">
            <v>-1.7549999999999999E-6</v>
          </cell>
          <cell r="B1176">
            <v>2.9802763486E-2</v>
          </cell>
        </row>
        <row r="1177">
          <cell r="A1177">
            <v>-1.75E-6</v>
          </cell>
          <cell r="B1177">
            <v>3.1410803669000002E-2</v>
          </cell>
        </row>
        <row r="1178">
          <cell r="A1178">
            <v>-1.745E-6</v>
          </cell>
          <cell r="B1178">
            <v>2.9802763485000001E-2</v>
          </cell>
        </row>
        <row r="1179">
          <cell r="A1179">
            <v>-1.7400000000000001E-6</v>
          </cell>
          <cell r="B1179">
            <v>3.3018843853000003E-2</v>
          </cell>
        </row>
        <row r="1180">
          <cell r="A1180">
            <v>-1.7349999999999999E-6</v>
          </cell>
          <cell r="B1180">
            <v>2.9802763485000001E-2</v>
          </cell>
        </row>
        <row r="1181">
          <cell r="A1181">
            <v>-1.73E-6</v>
          </cell>
          <cell r="B1181">
            <v>2.8998743393000001E-2</v>
          </cell>
        </row>
        <row r="1182">
          <cell r="A1182">
            <v>-1.725E-6</v>
          </cell>
          <cell r="B1182">
            <v>3.1410803669000002E-2</v>
          </cell>
        </row>
        <row r="1183">
          <cell r="A1183">
            <v>-1.72E-6</v>
          </cell>
          <cell r="B1183">
            <v>2.8998743393000001E-2</v>
          </cell>
        </row>
        <row r="1184">
          <cell r="A1184">
            <v>-1.7150000000000001E-6</v>
          </cell>
          <cell r="B1184">
            <v>3.1410803669000002E-2</v>
          </cell>
        </row>
        <row r="1185">
          <cell r="A1185">
            <v>-1.7099999999999999E-6</v>
          </cell>
          <cell r="B1185">
            <v>3.2214823761000003E-2</v>
          </cell>
        </row>
        <row r="1186">
          <cell r="A1186">
            <v>-1.705E-6</v>
          </cell>
          <cell r="B1186">
            <v>2.9802763485000001E-2</v>
          </cell>
        </row>
        <row r="1187">
          <cell r="A1187">
            <v>-1.7E-6</v>
          </cell>
          <cell r="B1187">
            <v>2.9802763485000001E-2</v>
          </cell>
        </row>
        <row r="1188">
          <cell r="A1188">
            <v>-1.6950000000000001E-6</v>
          </cell>
          <cell r="B1188">
            <v>2.9802763485000001E-2</v>
          </cell>
        </row>
        <row r="1189">
          <cell r="A1189">
            <v>-1.6899999999999999E-6</v>
          </cell>
          <cell r="B1189">
            <v>2.8194723301999999E-2</v>
          </cell>
        </row>
        <row r="1190">
          <cell r="A1190">
            <v>-1.685E-6</v>
          </cell>
          <cell r="B1190">
            <v>3.0606783576999998E-2</v>
          </cell>
        </row>
        <row r="1191">
          <cell r="A1191">
            <v>-1.68E-6</v>
          </cell>
          <cell r="B1191">
            <v>2.8194723301000001E-2</v>
          </cell>
        </row>
        <row r="1192">
          <cell r="A1192">
            <v>-1.6750000000000001E-6</v>
          </cell>
          <cell r="B1192">
            <v>2.8998743393000001E-2</v>
          </cell>
        </row>
        <row r="1193">
          <cell r="A1193">
            <v>-1.6700000000000001E-6</v>
          </cell>
          <cell r="B1193">
            <v>2.8998743394E-2</v>
          </cell>
        </row>
        <row r="1194">
          <cell r="A1194">
            <v>-1.6649999999999999E-6</v>
          </cell>
          <cell r="B1194">
            <v>2.9802763485000001E-2</v>
          </cell>
        </row>
        <row r="1195">
          <cell r="A1195">
            <v>-1.66E-6</v>
          </cell>
          <cell r="B1195">
            <v>3.1410803669000002E-2</v>
          </cell>
        </row>
        <row r="1196">
          <cell r="A1196">
            <v>-1.655E-6</v>
          </cell>
          <cell r="B1196">
            <v>2.8998743393000001E-2</v>
          </cell>
        </row>
        <row r="1197">
          <cell r="A1197">
            <v>-1.6500000000000001E-6</v>
          </cell>
          <cell r="B1197">
            <v>2.6586683117999999E-2</v>
          </cell>
        </row>
        <row r="1198">
          <cell r="A1198">
            <v>-1.6449999999999999E-6</v>
          </cell>
          <cell r="B1198">
            <v>2.7390703209999999E-2</v>
          </cell>
        </row>
        <row r="1199">
          <cell r="A1199">
            <v>-1.64E-6</v>
          </cell>
          <cell r="B1199">
            <v>3.2214823761000003E-2</v>
          </cell>
        </row>
        <row r="1200">
          <cell r="A1200">
            <v>-1.635E-6</v>
          </cell>
          <cell r="B1200">
            <v>2.9802763485000001E-2</v>
          </cell>
        </row>
        <row r="1201">
          <cell r="A1201">
            <v>-1.6300000000000001E-6</v>
          </cell>
          <cell r="B1201">
            <v>3.0606783576999998E-2</v>
          </cell>
        </row>
        <row r="1202">
          <cell r="A1202">
            <v>-1.6249999999999999E-6</v>
          </cell>
          <cell r="B1202">
            <v>2.9802763485000001E-2</v>
          </cell>
        </row>
        <row r="1203">
          <cell r="A1203">
            <v>-1.6199999999999999E-6</v>
          </cell>
          <cell r="B1203">
            <v>2.8194723301999999E-2</v>
          </cell>
        </row>
        <row r="1204">
          <cell r="A1204">
            <v>-1.615E-6</v>
          </cell>
          <cell r="B1204">
            <v>3.1410803669000002E-2</v>
          </cell>
        </row>
        <row r="1205">
          <cell r="A1205">
            <v>-1.61E-6</v>
          </cell>
          <cell r="B1205">
            <v>2.8998743393000001E-2</v>
          </cell>
        </row>
        <row r="1206">
          <cell r="A1206">
            <v>-1.6050000000000001E-6</v>
          </cell>
          <cell r="B1206">
            <v>3.0606783576999998E-2</v>
          </cell>
        </row>
        <row r="1207">
          <cell r="A1207">
            <v>-1.5999999999999999E-6</v>
          </cell>
          <cell r="B1207">
            <v>3.1410803669000002E-2</v>
          </cell>
        </row>
        <row r="1208">
          <cell r="A1208">
            <v>-1.595E-6</v>
          </cell>
          <cell r="B1208">
            <v>3.2214823761000003E-2</v>
          </cell>
        </row>
        <row r="1209">
          <cell r="A1209">
            <v>-1.59E-6</v>
          </cell>
          <cell r="B1209">
            <v>2.8194723301999999E-2</v>
          </cell>
        </row>
        <row r="1210">
          <cell r="A1210">
            <v>-1.5850000000000001E-6</v>
          </cell>
          <cell r="B1210">
            <v>3.2214823761000003E-2</v>
          </cell>
        </row>
        <row r="1211">
          <cell r="A1211">
            <v>-1.5799999999999999E-6</v>
          </cell>
          <cell r="B1211">
            <v>3.2214823761000003E-2</v>
          </cell>
        </row>
        <row r="1212">
          <cell r="A1212">
            <v>-1.575E-6</v>
          </cell>
          <cell r="B1212">
            <v>2.8998743394E-2</v>
          </cell>
        </row>
        <row r="1213">
          <cell r="A1213">
            <v>-1.57E-6</v>
          </cell>
          <cell r="B1213">
            <v>3.1410803669000002E-2</v>
          </cell>
        </row>
        <row r="1214">
          <cell r="A1214">
            <v>-1.5650000000000001E-6</v>
          </cell>
          <cell r="B1214">
            <v>2.5782663026000002E-2</v>
          </cell>
        </row>
        <row r="1215">
          <cell r="A1215">
            <v>-1.5600000000000001E-6</v>
          </cell>
          <cell r="B1215">
            <v>3.0606783576999998E-2</v>
          </cell>
        </row>
        <row r="1216">
          <cell r="A1216">
            <v>-1.5549999999999999E-6</v>
          </cell>
          <cell r="B1216">
            <v>3.2214823761000003E-2</v>
          </cell>
        </row>
        <row r="1217">
          <cell r="A1217">
            <v>-1.55E-6</v>
          </cell>
          <cell r="B1217">
            <v>2.8998743394E-2</v>
          </cell>
        </row>
        <row r="1218">
          <cell r="A1218">
            <v>-1.545E-6</v>
          </cell>
          <cell r="B1218">
            <v>3.1410803669000002E-2</v>
          </cell>
        </row>
        <row r="1219">
          <cell r="A1219">
            <v>-1.5400000000000001E-6</v>
          </cell>
          <cell r="B1219">
            <v>3.1410803669000002E-2</v>
          </cell>
        </row>
        <row r="1220">
          <cell r="A1220">
            <v>-1.5349999999999999E-6</v>
          </cell>
          <cell r="B1220">
            <v>3.1410803669000002E-2</v>
          </cell>
        </row>
        <row r="1221">
          <cell r="A1221">
            <v>-1.53E-6</v>
          </cell>
          <cell r="B1221">
            <v>2.9802763485000001E-2</v>
          </cell>
        </row>
        <row r="1222">
          <cell r="A1222">
            <v>-1.525E-6</v>
          </cell>
          <cell r="B1222">
            <v>3.2214823761000003E-2</v>
          </cell>
        </row>
        <row r="1223">
          <cell r="A1223">
            <v>-1.5200000000000001E-6</v>
          </cell>
          <cell r="B1223">
            <v>3.0606783576999998E-2</v>
          </cell>
        </row>
        <row r="1224">
          <cell r="A1224">
            <v>-1.5149999999999999E-6</v>
          </cell>
          <cell r="B1224">
            <v>2.8998743394E-2</v>
          </cell>
        </row>
        <row r="1225">
          <cell r="A1225">
            <v>-1.5099999999999999E-6</v>
          </cell>
          <cell r="B1225">
            <v>2.7390703209999999E-2</v>
          </cell>
        </row>
        <row r="1226">
          <cell r="A1226">
            <v>-1.505E-6</v>
          </cell>
          <cell r="B1226">
            <v>2.8194723301999999E-2</v>
          </cell>
        </row>
        <row r="1227">
          <cell r="A1227">
            <v>-1.5E-6</v>
          </cell>
          <cell r="B1227">
            <v>3.0606783576999998E-2</v>
          </cell>
        </row>
        <row r="1228">
          <cell r="A1228">
            <v>-1.4950000000000001E-6</v>
          </cell>
          <cell r="B1228">
            <v>2.6586683117999999E-2</v>
          </cell>
        </row>
        <row r="1229">
          <cell r="A1229">
            <v>-1.4899999999999999E-6</v>
          </cell>
          <cell r="B1229">
            <v>3.0606783576999998E-2</v>
          </cell>
        </row>
        <row r="1230">
          <cell r="A1230">
            <v>-1.485E-6</v>
          </cell>
          <cell r="B1230">
            <v>2.9802763485000001E-2</v>
          </cell>
        </row>
        <row r="1231">
          <cell r="A1231">
            <v>-1.48E-6</v>
          </cell>
          <cell r="B1231">
            <v>2.6586683117999999E-2</v>
          </cell>
        </row>
        <row r="1232">
          <cell r="A1232">
            <v>-1.4750000000000001E-6</v>
          </cell>
          <cell r="B1232">
            <v>2.7390703209999999E-2</v>
          </cell>
        </row>
        <row r="1233">
          <cell r="A1233">
            <v>-1.4699999999999999E-6</v>
          </cell>
          <cell r="B1233">
            <v>2.8194723301999999E-2</v>
          </cell>
        </row>
        <row r="1234">
          <cell r="A1234">
            <v>-1.4649999999999999E-6</v>
          </cell>
          <cell r="B1234">
            <v>3.0606783576999998E-2</v>
          </cell>
        </row>
        <row r="1235">
          <cell r="A1235">
            <v>-1.46E-6</v>
          </cell>
          <cell r="B1235">
            <v>2.8194723301999999E-2</v>
          </cell>
        </row>
        <row r="1236">
          <cell r="A1236">
            <v>-1.455E-6</v>
          </cell>
          <cell r="B1236">
            <v>2.9802763485000001E-2</v>
          </cell>
        </row>
        <row r="1237">
          <cell r="A1237">
            <v>-1.4500000000000001E-6</v>
          </cell>
          <cell r="B1237">
            <v>2.8194723301000001E-2</v>
          </cell>
        </row>
        <row r="1238">
          <cell r="A1238">
            <v>-1.4449999999999999E-6</v>
          </cell>
          <cell r="B1238">
            <v>2.8998743394E-2</v>
          </cell>
        </row>
        <row r="1239">
          <cell r="A1239">
            <v>-1.44E-6</v>
          </cell>
          <cell r="B1239">
            <v>2.7390703209999999E-2</v>
          </cell>
        </row>
        <row r="1240">
          <cell r="A1240">
            <v>-1.435E-6</v>
          </cell>
          <cell r="B1240">
            <v>2.8194723301999999E-2</v>
          </cell>
        </row>
        <row r="1241">
          <cell r="A1241">
            <v>-1.4300000000000001E-6</v>
          </cell>
          <cell r="B1241">
            <v>2.7390703209999999E-2</v>
          </cell>
        </row>
        <row r="1242">
          <cell r="A1242">
            <v>-1.4249999999999999E-6</v>
          </cell>
          <cell r="B1242">
            <v>2.9802763485000001E-2</v>
          </cell>
        </row>
        <row r="1243">
          <cell r="A1243">
            <v>-1.42E-6</v>
          </cell>
          <cell r="B1243">
            <v>3.3018843853000003E-2</v>
          </cell>
        </row>
        <row r="1244">
          <cell r="A1244">
            <v>-1.415E-6</v>
          </cell>
          <cell r="B1244">
            <v>2.8998743393000001E-2</v>
          </cell>
        </row>
        <row r="1245">
          <cell r="A1245">
            <v>-1.4100000000000001E-6</v>
          </cell>
          <cell r="B1245">
            <v>3.1410803669000002E-2</v>
          </cell>
        </row>
        <row r="1246">
          <cell r="A1246">
            <v>-1.4050000000000001E-6</v>
          </cell>
          <cell r="B1246">
            <v>2.6586683117999999E-2</v>
          </cell>
        </row>
        <row r="1247">
          <cell r="A1247">
            <v>-1.3999999999999999E-6</v>
          </cell>
          <cell r="B1247">
            <v>3.0606783576999998E-2</v>
          </cell>
        </row>
        <row r="1248">
          <cell r="A1248">
            <v>-1.395E-6</v>
          </cell>
          <cell r="B1248">
            <v>3.2214823761000003E-2</v>
          </cell>
        </row>
        <row r="1249">
          <cell r="A1249">
            <v>-1.39E-6</v>
          </cell>
          <cell r="B1249">
            <v>2.8998743393000001E-2</v>
          </cell>
        </row>
        <row r="1250">
          <cell r="A1250">
            <v>-1.3850000000000001E-6</v>
          </cell>
          <cell r="B1250">
            <v>3.0606783576999998E-2</v>
          </cell>
        </row>
        <row r="1251">
          <cell r="A1251">
            <v>-1.3799999999999999E-6</v>
          </cell>
          <cell r="B1251">
            <v>2.8998743394E-2</v>
          </cell>
        </row>
        <row r="1252">
          <cell r="A1252">
            <v>-1.375E-6</v>
          </cell>
          <cell r="B1252">
            <v>3.0606783576999998E-2</v>
          </cell>
        </row>
        <row r="1253">
          <cell r="A1253">
            <v>-1.37E-6</v>
          </cell>
          <cell r="B1253">
            <v>3.3018843853000003E-2</v>
          </cell>
        </row>
        <row r="1254">
          <cell r="A1254">
            <v>-1.3650000000000001E-6</v>
          </cell>
          <cell r="B1254">
            <v>3.3822863944999997E-2</v>
          </cell>
        </row>
        <row r="1255">
          <cell r="A1255">
            <v>-1.3599999999999999E-6</v>
          </cell>
          <cell r="B1255">
            <v>3.0606783576999998E-2</v>
          </cell>
        </row>
        <row r="1256">
          <cell r="A1256">
            <v>-1.3549999999999999E-6</v>
          </cell>
          <cell r="B1256">
            <v>3.2214823761000003E-2</v>
          </cell>
        </row>
        <row r="1257">
          <cell r="A1257">
            <v>-1.35E-6</v>
          </cell>
          <cell r="B1257">
            <v>3.1410803669000002E-2</v>
          </cell>
        </row>
        <row r="1258">
          <cell r="A1258">
            <v>-1.345E-6</v>
          </cell>
          <cell r="B1258">
            <v>2.8194723301999999E-2</v>
          </cell>
        </row>
        <row r="1259">
          <cell r="A1259">
            <v>-1.3400000000000001E-6</v>
          </cell>
          <cell r="B1259">
            <v>2.8194723301999999E-2</v>
          </cell>
        </row>
        <row r="1260">
          <cell r="A1260">
            <v>-1.3349999999999999E-6</v>
          </cell>
          <cell r="B1260">
            <v>3.1410803669000002E-2</v>
          </cell>
        </row>
        <row r="1261">
          <cell r="A1261">
            <v>-1.33E-6</v>
          </cell>
          <cell r="B1261">
            <v>2.8998743394E-2</v>
          </cell>
        </row>
        <row r="1262">
          <cell r="A1262">
            <v>-1.325E-6</v>
          </cell>
          <cell r="B1262">
            <v>3.0606783576999998E-2</v>
          </cell>
        </row>
        <row r="1263">
          <cell r="A1263">
            <v>-1.3200000000000001E-6</v>
          </cell>
          <cell r="B1263">
            <v>2.9802763485000001E-2</v>
          </cell>
        </row>
        <row r="1264">
          <cell r="A1264">
            <v>-1.3149999999999999E-6</v>
          </cell>
          <cell r="B1264">
            <v>3.0606783576999998E-2</v>
          </cell>
        </row>
        <row r="1265">
          <cell r="A1265">
            <v>-1.31E-6</v>
          </cell>
          <cell r="B1265">
            <v>2.8998743394E-2</v>
          </cell>
        </row>
        <row r="1266">
          <cell r="A1266">
            <v>-1.305E-6</v>
          </cell>
          <cell r="B1266">
            <v>3.2214823761000003E-2</v>
          </cell>
        </row>
        <row r="1267">
          <cell r="A1267">
            <v>-1.3E-6</v>
          </cell>
          <cell r="B1267">
            <v>2.9802763485000001E-2</v>
          </cell>
        </row>
        <row r="1268">
          <cell r="A1268">
            <v>-1.2950000000000001E-6</v>
          </cell>
          <cell r="B1268">
            <v>3.1410803669000002E-2</v>
          </cell>
        </row>
        <row r="1269">
          <cell r="A1269">
            <v>-1.2899999999999999E-6</v>
          </cell>
          <cell r="B1269">
            <v>3.1410803669000002E-2</v>
          </cell>
        </row>
        <row r="1270">
          <cell r="A1270">
            <v>-1.285E-6</v>
          </cell>
          <cell r="B1270">
            <v>3.0606783576999998E-2</v>
          </cell>
        </row>
        <row r="1271">
          <cell r="A1271">
            <v>-1.28E-6</v>
          </cell>
          <cell r="B1271">
            <v>3.5430904127999999E-2</v>
          </cell>
        </row>
        <row r="1272">
          <cell r="A1272">
            <v>-1.2750000000000001E-6</v>
          </cell>
          <cell r="B1272">
            <v>3.2214823761000003E-2</v>
          </cell>
        </row>
        <row r="1273">
          <cell r="A1273">
            <v>-1.2699999999999999E-6</v>
          </cell>
          <cell r="B1273">
            <v>3.2214823761000003E-2</v>
          </cell>
        </row>
        <row r="1274">
          <cell r="A1274">
            <v>-1.265E-6</v>
          </cell>
          <cell r="B1274">
            <v>3.2214823761000003E-2</v>
          </cell>
        </row>
        <row r="1275">
          <cell r="A1275">
            <v>-1.26E-6</v>
          </cell>
          <cell r="B1275">
            <v>3.1410803669000002E-2</v>
          </cell>
        </row>
        <row r="1276">
          <cell r="A1276">
            <v>-1.2550000000000001E-6</v>
          </cell>
          <cell r="B1276">
            <v>2.7390703209999999E-2</v>
          </cell>
        </row>
        <row r="1277">
          <cell r="A1277">
            <v>-1.2500000000000001E-6</v>
          </cell>
          <cell r="B1277">
            <v>2.8194723301999999E-2</v>
          </cell>
        </row>
        <row r="1278">
          <cell r="A1278">
            <v>-1.2449999999999999E-6</v>
          </cell>
          <cell r="B1278">
            <v>2.8998743394E-2</v>
          </cell>
        </row>
        <row r="1279">
          <cell r="A1279">
            <v>-1.24E-6</v>
          </cell>
          <cell r="B1279">
            <v>2.8998743393000001E-2</v>
          </cell>
        </row>
        <row r="1280">
          <cell r="A1280">
            <v>-1.235E-6</v>
          </cell>
          <cell r="B1280">
            <v>3.1410803669000002E-2</v>
          </cell>
        </row>
        <row r="1281">
          <cell r="A1281">
            <v>-1.2300000000000001E-6</v>
          </cell>
          <cell r="B1281">
            <v>2.9802763485000001E-2</v>
          </cell>
        </row>
        <row r="1282">
          <cell r="A1282">
            <v>-1.2249999999999999E-6</v>
          </cell>
          <cell r="B1282">
            <v>2.6586683117999999E-2</v>
          </cell>
        </row>
        <row r="1283">
          <cell r="A1283">
            <v>-1.22E-6</v>
          </cell>
          <cell r="B1283">
            <v>2.9802763485000001E-2</v>
          </cell>
        </row>
        <row r="1284">
          <cell r="A1284">
            <v>-1.215E-6</v>
          </cell>
          <cell r="B1284">
            <v>3.0606783576999998E-2</v>
          </cell>
        </row>
        <row r="1285">
          <cell r="A1285">
            <v>-1.2100000000000001E-6</v>
          </cell>
          <cell r="B1285">
            <v>3.2214823761000003E-2</v>
          </cell>
        </row>
        <row r="1286">
          <cell r="A1286">
            <v>-1.2049999999999999E-6</v>
          </cell>
          <cell r="B1286">
            <v>3.2214823761000003E-2</v>
          </cell>
        </row>
        <row r="1287">
          <cell r="A1287">
            <v>-1.1999999999999999E-6</v>
          </cell>
          <cell r="B1287">
            <v>3.0606783576999998E-2</v>
          </cell>
        </row>
        <row r="1288">
          <cell r="A1288">
            <v>-1.195E-6</v>
          </cell>
          <cell r="B1288">
            <v>2.9802763486E-2</v>
          </cell>
        </row>
        <row r="1289">
          <cell r="A1289">
            <v>-1.19E-6</v>
          </cell>
          <cell r="B1289">
            <v>2.8194723301999999E-2</v>
          </cell>
        </row>
        <row r="1290">
          <cell r="A1290">
            <v>-1.1850000000000001E-6</v>
          </cell>
          <cell r="B1290">
            <v>3.1410803669000002E-2</v>
          </cell>
        </row>
        <row r="1291">
          <cell r="A1291">
            <v>-1.1799999999999999E-6</v>
          </cell>
          <cell r="B1291">
            <v>3.3822863944999997E-2</v>
          </cell>
        </row>
        <row r="1292">
          <cell r="A1292">
            <v>-1.175E-6</v>
          </cell>
          <cell r="B1292">
            <v>2.8998743393000001E-2</v>
          </cell>
        </row>
        <row r="1293">
          <cell r="A1293">
            <v>-1.17E-6</v>
          </cell>
          <cell r="B1293">
            <v>2.9802763485000001E-2</v>
          </cell>
        </row>
        <row r="1294">
          <cell r="A1294">
            <v>-1.1650000000000001E-6</v>
          </cell>
          <cell r="B1294">
            <v>3.2214823761000003E-2</v>
          </cell>
        </row>
        <row r="1295">
          <cell r="A1295">
            <v>-1.1599999999999999E-6</v>
          </cell>
          <cell r="B1295">
            <v>2.7390703209999999E-2</v>
          </cell>
        </row>
        <row r="1296">
          <cell r="A1296">
            <v>-1.155E-6</v>
          </cell>
          <cell r="B1296">
            <v>2.8194723301999999E-2</v>
          </cell>
        </row>
        <row r="1297">
          <cell r="A1297">
            <v>-1.15E-6</v>
          </cell>
          <cell r="B1297">
            <v>3.1410803669000002E-2</v>
          </cell>
        </row>
        <row r="1298">
          <cell r="A1298">
            <v>-1.145E-6</v>
          </cell>
          <cell r="B1298">
            <v>3.0606783576999998E-2</v>
          </cell>
        </row>
        <row r="1299">
          <cell r="A1299">
            <v>-1.1400000000000001E-6</v>
          </cell>
          <cell r="B1299">
            <v>3.3018843853000003E-2</v>
          </cell>
        </row>
        <row r="1300">
          <cell r="A1300">
            <v>-1.1349999999999999E-6</v>
          </cell>
          <cell r="B1300">
            <v>2.7390703209999999E-2</v>
          </cell>
        </row>
        <row r="1301">
          <cell r="A1301">
            <v>-1.13E-6</v>
          </cell>
          <cell r="B1301">
            <v>2.9802763485000001E-2</v>
          </cell>
        </row>
        <row r="1302">
          <cell r="A1302">
            <v>-1.125E-6</v>
          </cell>
          <cell r="B1302">
            <v>3.2214823761000003E-2</v>
          </cell>
        </row>
        <row r="1303">
          <cell r="A1303">
            <v>-1.1200000000000001E-6</v>
          </cell>
          <cell r="B1303">
            <v>3.0606783576999998E-2</v>
          </cell>
        </row>
        <row r="1304">
          <cell r="A1304">
            <v>-1.1149999999999999E-6</v>
          </cell>
          <cell r="B1304">
            <v>2.7390703209999999E-2</v>
          </cell>
        </row>
        <row r="1305">
          <cell r="A1305">
            <v>-1.11E-6</v>
          </cell>
          <cell r="B1305">
            <v>2.8194723301000001E-2</v>
          </cell>
        </row>
        <row r="1306">
          <cell r="A1306">
            <v>-1.105E-6</v>
          </cell>
          <cell r="B1306">
            <v>2.9802763485000001E-2</v>
          </cell>
        </row>
        <row r="1307">
          <cell r="A1307">
            <v>-1.1000000000000001E-6</v>
          </cell>
          <cell r="B1307">
            <v>2.9802763485000001E-2</v>
          </cell>
        </row>
        <row r="1308">
          <cell r="A1308">
            <v>-1.0950000000000001E-6</v>
          </cell>
          <cell r="B1308">
            <v>2.6586683117999999E-2</v>
          </cell>
        </row>
        <row r="1309">
          <cell r="A1309">
            <v>-1.0899999999999999E-6</v>
          </cell>
          <cell r="B1309">
            <v>3.1410803669000002E-2</v>
          </cell>
        </row>
        <row r="1310">
          <cell r="A1310">
            <v>-1.085E-6</v>
          </cell>
          <cell r="B1310">
            <v>2.9802763486E-2</v>
          </cell>
        </row>
        <row r="1311">
          <cell r="A1311">
            <v>-1.08E-6</v>
          </cell>
          <cell r="B1311">
            <v>2.5782663026000002E-2</v>
          </cell>
        </row>
        <row r="1312">
          <cell r="A1312">
            <v>-1.0750000000000001E-6</v>
          </cell>
          <cell r="B1312">
            <v>2.9802763485000001E-2</v>
          </cell>
        </row>
        <row r="1313">
          <cell r="A1313">
            <v>-1.0699999999999999E-6</v>
          </cell>
          <cell r="B1313">
            <v>3.1410803669000002E-2</v>
          </cell>
        </row>
        <row r="1314">
          <cell r="A1314">
            <v>-1.065E-6</v>
          </cell>
          <cell r="B1314">
            <v>3.2214823761000003E-2</v>
          </cell>
        </row>
        <row r="1315">
          <cell r="A1315">
            <v>-1.06E-6</v>
          </cell>
          <cell r="B1315">
            <v>3.0606783576999998E-2</v>
          </cell>
        </row>
        <row r="1316">
          <cell r="A1316">
            <v>-1.0550000000000001E-6</v>
          </cell>
          <cell r="B1316">
            <v>2.9802763485000001E-2</v>
          </cell>
        </row>
        <row r="1317">
          <cell r="A1317">
            <v>-1.0499999999999999E-6</v>
          </cell>
          <cell r="B1317">
            <v>3.1410803669000002E-2</v>
          </cell>
        </row>
        <row r="1318">
          <cell r="A1318">
            <v>-1.0449999999999999E-6</v>
          </cell>
          <cell r="B1318">
            <v>3.2214823761000003E-2</v>
          </cell>
        </row>
        <row r="1319">
          <cell r="A1319">
            <v>-1.04E-6</v>
          </cell>
          <cell r="B1319">
            <v>3.0606783576999998E-2</v>
          </cell>
        </row>
        <row r="1320">
          <cell r="A1320">
            <v>-1.035E-6</v>
          </cell>
          <cell r="B1320">
            <v>3.1410803669000002E-2</v>
          </cell>
        </row>
        <row r="1321">
          <cell r="A1321">
            <v>-1.0300000000000001E-6</v>
          </cell>
          <cell r="B1321">
            <v>3.2214823761000003E-2</v>
          </cell>
        </row>
        <row r="1322">
          <cell r="A1322">
            <v>-1.0249999999999999E-6</v>
          </cell>
          <cell r="B1322">
            <v>3.1410803669000002E-2</v>
          </cell>
        </row>
        <row r="1323">
          <cell r="A1323">
            <v>-1.02E-6</v>
          </cell>
          <cell r="B1323">
            <v>2.8194723301999999E-2</v>
          </cell>
        </row>
        <row r="1324">
          <cell r="A1324">
            <v>-1.015E-6</v>
          </cell>
          <cell r="B1324">
            <v>3.0606783576999998E-2</v>
          </cell>
        </row>
        <row r="1325">
          <cell r="A1325">
            <v>-1.0100000000000001E-6</v>
          </cell>
          <cell r="B1325">
            <v>2.8194723301999999E-2</v>
          </cell>
        </row>
        <row r="1326">
          <cell r="A1326">
            <v>-1.0049999999999999E-6</v>
          </cell>
          <cell r="B1326">
            <v>3.1410803669000002E-2</v>
          </cell>
        </row>
        <row r="1327">
          <cell r="A1327">
            <v>-9.9999999999999995E-7</v>
          </cell>
          <cell r="B1327">
            <v>2.8998743393000001E-2</v>
          </cell>
        </row>
        <row r="1328">
          <cell r="A1328">
            <v>-9.95E-7</v>
          </cell>
          <cell r="B1328">
            <v>2.8998743394E-2</v>
          </cell>
        </row>
        <row r="1329">
          <cell r="A1329">
            <v>-9.9000000000000005E-7</v>
          </cell>
          <cell r="B1329">
            <v>2.9802763485000001E-2</v>
          </cell>
        </row>
        <row r="1330">
          <cell r="A1330">
            <v>-9.850000000000001E-7</v>
          </cell>
          <cell r="B1330">
            <v>2.9802763486E-2</v>
          </cell>
        </row>
        <row r="1331">
          <cell r="A1331">
            <v>-9.7999999999999993E-7</v>
          </cell>
          <cell r="B1331">
            <v>2.9802763485000001E-2</v>
          </cell>
        </row>
        <row r="1332">
          <cell r="A1332">
            <v>-9.7499999999999998E-7</v>
          </cell>
          <cell r="B1332">
            <v>2.8998743393000001E-2</v>
          </cell>
        </row>
        <row r="1333">
          <cell r="A1333">
            <v>-9.7000000000000003E-7</v>
          </cell>
          <cell r="B1333">
            <v>2.9802763485000001E-2</v>
          </cell>
        </row>
        <row r="1334">
          <cell r="A1334">
            <v>-9.6500000000000008E-7</v>
          </cell>
          <cell r="B1334">
            <v>2.9802763485000001E-2</v>
          </cell>
        </row>
        <row r="1335">
          <cell r="A1335">
            <v>-9.5999999999999991E-7</v>
          </cell>
          <cell r="B1335">
            <v>3.0606783576999998E-2</v>
          </cell>
        </row>
        <row r="1336">
          <cell r="A1336">
            <v>-9.5499999999999996E-7</v>
          </cell>
          <cell r="B1336">
            <v>2.9802763485000001E-2</v>
          </cell>
        </row>
        <row r="1337">
          <cell r="A1337">
            <v>-9.5000000000000001E-7</v>
          </cell>
          <cell r="B1337">
            <v>2.8194723301999999E-2</v>
          </cell>
        </row>
        <row r="1338">
          <cell r="A1338">
            <v>-9.4499999999999995E-7</v>
          </cell>
          <cell r="B1338">
            <v>2.6586683117999999E-2</v>
          </cell>
        </row>
        <row r="1339">
          <cell r="A1339">
            <v>-9.4E-7</v>
          </cell>
          <cell r="B1339">
            <v>2.8194723301999999E-2</v>
          </cell>
        </row>
        <row r="1340">
          <cell r="A1340">
            <v>-9.3500000000000005E-7</v>
          </cell>
          <cell r="B1340">
            <v>2.8194723301999999E-2</v>
          </cell>
        </row>
        <row r="1341">
          <cell r="A1341">
            <v>-9.2999999999999999E-7</v>
          </cell>
          <cell r="B1341">
            <v>2.5782663026000002E-2</v>
          </cell>
        </row>
        <row r="1342">
          <cell r="A1342">
            <v>-9.2500000000000004E-7</v>
          </cell>
          <cell r="B1342">
            <v>2.8998743393000001E-2</v>
          </cell>
        </row>
        <row r="1343">
          <cell r="A1343">
            <v>-9.1999999999999998E-7</v>
          </cell>
          <cell r="B1343">
            <v>2.7390703209999999E-2</v>
          </cell>
        </row>
        <row r="1344">
          <cell r="A1344">
            <v>-9.1500000000000003E-7</v>
          </cell>
          <cell r="B1344">
            <v>3.0606783576999998E-2</v>
          </cell>
        </row>
        <row r="1345">
          <cell r="A1345">
            <v>-9.0999999999999997E-7</v>
          </cell>
          <cell r="B1345">
            <v>2.5782663026000002E-2</v>
          </cell>
        </row>
        <row r="1346">
          <cell r="A1346">
            <v>-9.0500000000000002E-7</v>
          </cell>
          <cell r="B1346">
            <v>2.9802763485000001E-2</v>
          </cell>
        </row>
        <row r="1347">
          <cell r="A1347">
            <v>-8.9999999999999996E-7</v>
          </cell>
          <cell r="B1347">
            <v>2.8194723301999999E-2</v>
          </cell>
        </row>
        <row r="1348">
          <cell r="A1348">
            <v>-8.9500000000000001E-7</v>
          </cell>
          <cell r="B1348">
            <v>2.7390703209999999E-2</v>
          </cell>
        </row>
        <row r="1349">
          <cell r="A1349">
            <v>-8.8999999999999995E-7</v>
          </cell>
          <cell r="B1349">
            <v>3.1410803669000002E-2</v>
          </cell>
        </row>
        <row r="1350">
          <cell r="A1350">
            <v>-8.85E-7</v>
          </cell>
          <cell r="B1350">
            <v>2.6586683117999999E-2</v>
          </cell>
        </row>
        <row r="1351">
          <cell r="A1351">
            <v>-8.8000000000000004E-7</v>
          </cell>
          <cell r="B1351">
            <v>2.8998743393000001E-2</v>
          </cell>
        </row>
        <row r="1352">
          <cell r="A1352">
            <v>-8.7499999999999999E-7</v>
          </cell>
          <cell r="B1352">
            <v>3.4626884035999998E-2</v>
          </cell>
        </row>
        <row r="1353">
          <cell r="A1353">
            <v>-8.7000000000000003E-7</v>
          </cell>
          <cell r="B1353">
            <v>2.9802763485000001E-2</v>
          </cell>
        </row>
        <row r="1354">
          <cell r="A1354">
            <v>-8.6499999999999998E-7</v>
          </cell>
          <cell r="B1354">
            <v>2.8194723301999999E-2</v>
          </cell>
        </row>
        <row r="1355">
          <cell r="A1355">
            <v>-8.6000000000000002E-7</v>
          </cell>
          <cell r="B1355">
            <v>2.9802763486E-2</v>
          </cell>
        </row>
        <row r="1356">
          <cell r="A1356">
            <v>-8.5499999999999997E-7</v>
          </cell>
          <cell r="B1356">
            <v>2.8998743393000001E-2</v>
          </cell>
        </row>
        <row r="1357">
          <cell r="A1357">
            <v>-8.5000000000000001E-7</v>
          </cell>
          <cell r="B1357">
            <v>3.0606783576999998E-2</v>
          </cell>
        </row>
        <row r="1358">
          <cell r="A1358">
            <v>-8.4499999999999996E-7</v>
          </cell>
          <cell r="B1358">
            <v>3.2214823761000003E-2</v>
          </cell>
        </row>
        <row r="1359">
          <cell r="A1359">
            <v>-8.4E-7</v>
          </cell>
          <cell r="B1359">
            <v>2.8998743393000001E-2</v>
          </cell>
        </row>
        <row r="1360">
          <cell r="A1360">
            <v>-8.3500000000000005E-7</v>
          </cell>
          <cell r="B1360">
            <v>3.3018843853000003E-2</v>
          </cell>
        </row>
        <row r="1361">
          <cell r="A1361">
            <v>-8.2999999999999999E-7</v>
          </cell>
          <cell r="B1361">
            <v>3.1410803669000002E-2</v>
          </cell>
        </row>
        <row r="1362">
          <cell r="A1362">
            <v>-8.2500000000000004E-7</v>
          </cell>
          <cell r="B1362">
            <v>2.8194723301999999E-2</v>
          </cell>
        </row>
        <row r="1363">
          <cell r="A1363">
            <v>-8.1999999999999998E-7</v>
          </cell>
          <cell r="B1363">
            <v>3.5430904128999997E-2</v>
          </cell>
        </row>
        <row r="1364">
          <cell r="A1364">
            <v>-8.1500000000000003E-7</v>
          </cell>
          <cell r="B1364">
            <v>3.1410803669000002E-2</v>
          </cell>
        </row>
        <row r="1365">
          <cell r="A1365">
            <v>-8.0999999999999997E-7</v>
          </cell>
          <cell r="B1365">
            <v>3.0606783576999998E-2</v>
          </cell>
        </row>
        <row r="1366">
          <cell r="A1366">
            <v>-8.0500000000000002E-7</v>
          </cell>
          <cell r="B1366">
            <v>3.1410803669000002E-2</v>
          </cell>
        </row>
        <row r="1367">
          <cell r="A1367">
            <v>-7.9999999999999996E-7</v>
          </cell>
          <cell r="B1367">
            <v>2.8998743394E-2</v>
          </cell>
        </row>
        <row r="1368">
          <cell r="A1368">
            <v>-7.9500000000000001E-7</v>
          </cell>
          <cell r="B1368">
            <v>2.7390703209999999E-2</v>
          </cell>
        </row>
        <row r="1369">
          <cell r="A1369">
            <v>-7.8999999999999995E-7</v>
          </cell>
          <cell r="B1369">
            <v>2.9802763485000001E-2</v>
          </cell>
        </row>
        <row r="1370">
          <cell r="A1370">
            <v>-7.85E-7</v>
          </cell>
          <cell r="B1370">
            <v>3.2214823761000003E-2</v>
          </cell>
        </row>
        <row r="1371">
          <cell r="A1371">
            <v>-7.8000000000000005E-7</v>
          </cell>
          <cell r="B1371">
            <v>2.9802763485000001E-2</v>
          </cell>
        </row>
        <row r="1372">
          <cell r="A1372">
            <v>-7.7499999999999999E-7</v>
          </cell>
          <cell r="B1372">
            <v>3.1410803669000002E-2</v>
          </cell>
        </row>
        <row r="1373">
          <cell r="A1373">
            <v>-7.7000000000000004E-7</v>
          </cell>
          <cell r="B1373">
            <v>2.9802763485000001E-2</v>
          </cell>
        </row>
        <row r="1374">
          <cell r="A1374">
            <v>-7.6499999999999998E-7</v>
          </cell>
          <cell r="B1374">
            <v>3.2214823761000003E-2</v>
          </cell>
        </row>
        <row r="1375">
          <cell r="A1375">
            <v>-7.6000000000000003E-7</v>
          </cell>
          <cell r="B1375">
            <v>2.8194723301999999E-2</v>
          </cell>
        </row>
        <row r="1376">
          <cell r="A1376">
            <v>-7.5499999999999997E-7</v>
          </cell>
          <cell r="B1376">
            <v>3.3822863944999997E-2</v>
          </cell>
        </row>
        <row r="1377">
          <cell r="A1377">
            <v>-7.5000000000000002E-7</v>
          </cell>
          <cell r="B1377">
            <v>2.9802763485000001E-2</v>
          </cell>
        </row>
        <row r="1378">
          <cell r="A1378">
            <v>-7.4499999999999996E-7</v>
          </cell>
          <cell r="B1378">
            <v>2.9802763485000001E-2</v>
          </cell>
        </row>
        <row r="1379">
          <cell r="A1379">
            <v>-7.4000000000000001E-7</v>
          </cell>
          <cell r="B1379">
            <v>3.0606783576999998E-2</v>
          </cell>
        </row>
        <row r="1380">
          <cell r="A1380">
            <v>-7.3499999999999995E-7</v>
          </cell>
          <cell r="B1380">
            <v>2.8998743393000001E-2</v>
          </cell>
        </row>
        <row r="1381">
          <cell r="A1381">
            <v>-7.3E-7</v>
          </cell>
          <cell r="B1381">
            <v>3.0606783576999998E-2</v>
          </cell>
        </row>
        <row r="1382">
          <cell r="A1382">
            <v>-7.2500000000000005E-7</v>
          </cell>
          <cell r="B1382">
            <v>2.4978642934000001E-2</v>
          </cell>
        </row>
        <row r="1383">
          <cell r="A1383">
            <v>-7.1999999999999999E-7</v>
          </cell>
          <cell r="B1383">
            <v>2.9802763485000001E-2</v>
          </cell>
        </row>
        <row r="1384">
          <cell r="A1384">
            <v>-7.1500000000000004E-7</v>
          </cell>
          <cell r="B1384">
            <v>2.7390703209999999E-2</v>
          </cell>
        </row>
        <row r="1385">
          <cell r="A1385">
            <v>-7.0999999999999998E-7</v>
          </cell>
          <cell r="B1385">
            <v>3.1410803669000002E-2</v>
          </cell>
        </row>
        <row r="1386">
          <cell r="A1386">
            <v>-7.0500000000000003E-7</v>
          </cell>
          <cell r="B1386">
            <v>3.1410803669000002E-2</v>
          </cell>
        </row>
        <row r="1387">
          <cell r="A1387">
            <v>-6.9999999999999997E-7</v>
          </cell>
          <cell r="B1387">
            <v>2.8998743394E-2</v>
          </cell>
        </row>
        <row r="1388">
          <cell r="A1388">
            <v>-6.9500000000000002E-7</v>
          </cell>
          <cell r="B1388">
            <v>3.0606783576999998E-2</v>
          </cell>
        </row>
        <row r="1389">
          <cell r="A1389">
            <v>-6.8999999999999996E-7</v>
          </cell>
          <cell r="B1389">
            <v>3.0606783576999998E-2</v>
          </cell>
        </row>
        <row r="1390">
          <cell r="A1390">
            <v>-6.8500000000000001E-7</v>
          </cell>
          <cell r="B1390">
            <v>2.8998743394E-2</v>
          </cell>
        </row>
        <row r="1391">
          <cell r="A1391">
            <v>-6.7999999999999995E-7</v>
          </cell>
          <cell r="B1391">
            <v>3.0606783576999998E-2</v>
          </cell>
        </row>
        <row r="1392">
          <cell r="A1392">
            <v>-6.75E-7</v>
          </cell>
          <cell r="B1392">
            <v>2.9802763485000001E-2</v>
          </cell>
        </row>
        <row r="1393">
          <cell r="A1393">
            <v>-6.7000000000000004E-7</v>
          </cell>
          <cell r="B1393">
            <v>2.9802763486E-2</v>
          </cell>
        </row>
        <row r="1394">
          <cell r="A1394">
            <v>-6.6499999999999999E-7</v>
          </cell>
          <cell r="B1394">
            <v>2.8998743393000001E-2</v>
          </cell>
        </row>
        <row r="1395">
          <cell r="A1395">
            <v>-6.6000000000000003E-7</v>
          </cell>
          <cell r="B1395">
            <v>3.0606783576999998E-2</v>
          </cell>
        </row>
        <row r="1396">
          <cell r="A1396">
            <v>-6.5499999999999998E-7</v>
          </cell>
          <cell r="B1396">
            <v>3.0606783576999998E-2</v>
          </cell>
        </row>
        <row r="1397">
          <cell r="A1397">
            <v>-6.5000000000000002E-7</v>
          </cell>
          <cell r="B1397">
            <v>3.1410803669000002E-2</v>
          </cell>
        </row>
        <row r="1398">
          <cell r="A1398">
            <v>-6.4499999999999997E-7</v>
          </cell>
          <cell r="B1398">
            <v>3.0606783576999998E-2</v>
          </cell>
        </row>
        <row r="1399">
          <cell r="A1399">
            <v>-6.4000000000000001E-7</v>
          </cell>
          <cell r="B1399">
            <v>3.3018843853000003E-2</v>
          </cell>
        </row>
        <row r="1400">
          <cell r="A1400">
            <v>-6.3499999999999996E-7</v>
          </cell>
          <cell r="B1400">
            <v>3.3018843853000003E-2</v>
          </cell>
        </row>
        <row r="1401">
          <cell r="A1401">
            <v>-6.3E-7</v>
          </cell>
          <cell r="B1401">
            <v>3.2214823761000003E-2</v>
          </cell>
        </row>
        <row r="1402">
          <cell r="A1402">
            <v>-6.2500000000000005E-7</v>
          </cell>
          <cell r="B1402">
            <v>3.3018843853000003E-2</v>
          </cell>
        </row>
        <row r="1403">
          <cell r="A1403">
            <v>-6.1999999999999999E-7</v>
          </cell>
          <cell r="B1403">
            <v>2.9802763485000001E-2</v>
          </cell>
        </row>
        <row r="1404">
          <cell r="A1404">
            <v>-6.1500000000000004E-7</v>
          </cell>
          <cell r="B1404">
            <v>3.6234924219999999E-2</v>
          </cell>
        </row>
        <row r="1405">
          <cell r="A1405">
            <v>-6.0999999999999998E-7</v>
          </cell>
          <cell r="B1405">
            <v>3.2214823761000003E-2</v>
          </cell>
        </row>
        <row r="1406">
          <cell r="A1406">
            <v>-6.0500000000000003E-7</v>
          </cell>
          <cell r="B1406">
            <v>3.3822863944999997E-2</v>
          </cell>
        </row>
        <row r="1407">
          <cell r="A1407">
            <v>-5.9999999999999997E-7</v>
          </cell>
          <cell r="B1407">
            <v>3.2214823761000003E-2</v>
          </cell>
        </row>
        <row r="1408">
          <cell r="A1408">
            <v>-5.9500000000000002E-7</v>
          </cell>
          <cell r="B1408">
            <v>3.2214823761000003E-2</v>
          </cell>
        </row>
        <row r="1409">
          <cell r="A1409">
            <v>-5.8999999999999996E-7</v>
          </cell>
          <cell r="B1409">
            <v>2.9802763485000001E-2</v>
          </cell>
        </row>
        <row r="1410">
          <cell r="A1410">
            <v>-5.8500000000000001E-7</v>
          </cell>
          <cell r="B1410">
            <v>3.1410803669000002E-2</v>
          </cell>
        </row>
        <row r="1411">
          <cell r="A1411">
            <v>-5.7999999999999995E-7</v>
          </cell>
          <cell r="B1411">
            <v>2.2566582658E-2</v>
          </cell>
        </row>
        <row r="1412">
          <cell r="A1412">
            <v>-5.75E-7</v>
          </cell>
          <cell r="B1412">
            <v>3.3018843853000003E-2</v>
          </cell>
        </row>
        <row r="1413">
          <cell r="A1413">
            <v>-5.7000000000000005E-7</v>
          </cell>
          <cell r="B1413">
            <v>2.8194723301000001E-2</v>
          </cell>
        </row>
        <row r="1414">
          <cell r="A1414">
            <v>-5.6499999999999999E-7</v>
          </cell>
          <cell r="B1414">
            <v>3.0606783576999998E-2</v>
          </cell>
        </row>
        <row r="1415">
          <cell r="A1415">
            <v>-5.6000000000000004E-7</v>
          </cell>
          <cell r="B1415">
            <v>2.9802763485000001E-2</v>
          </cell>
        </row>
        <row r="1416">
          <cell r="A1416">
            <v>-5.5499999999999998E-7</v>
          </cell>
          <cell r="B1416">
            <v>2.8998743393000001E-2</v>
          </cell>
        </row>
        <row r="1417">
          <cell r="A1417">
            <v>-5.5000000000000003E-7</v>
          </cell>
          <cell r="B1417">
            <v>3.0606783576999998E-2</v>
          </cell>
        </row>
        <row r="1418">
          <cell r="A1418">
            <v>-5.4499999999999997E-7</v>
          </cell>
          <cell r="B1418">
            <v>2.8194723301999999E-2</v>
          </cell>
        </row>
        <row r="1419">
          <cell r="A1419">
            <v>-5.4000000000000002E-7</v>
          </cell>
          <cell r="B1419">
            <v>2.9802763485000001E-2</v>
          </cell>
        </row>
        <row r="1420">
          <cell r="A1420">
            <v>-5.3499999999999996E-7</v>
          </cell>
          <cell r="B1420">
            <v>2.5782663026000002E-2</v>
          </cell>
        </row>
        <row r="1421">
          <cell r="A1421">
            <v>-5.3000000000000001E-7</v>
          </cell>
          <cell r="B1421">
            <v>2.8194723301000001E-2</v>
          </cell>
        </row>
        <row r="1422">
          <cell r="A1422">
            <v>-5.2499999999999995E-7</v>
          </cell>
          <cell r="B1422">
            <v>2.8194723301000001E-2</v>
          </cell>
        </row>
        <row r="1423">
          <cell r="A1423">
            <v>-5.2E-7</v>
          </cell>
          <cell r="B1423">
            <v>3.0606783576999998E-2</v>
          </cell>
        </row>
        <row r="1424">
          <cell r="A1424">
            <v>-5.1500000000000005E-7</v>
          </cell>
          <cell r="B1424">
            <v>3.3018843853000003E-2</v>
          </cell>
        </row>
        <row r="1425">
          <cell r="A1425">
            <v>-5.0999999999999999E-7</v>
          </cell>
          <cell r="B1425">
            <v>2.7390703209999999E-2</v>
          </cell>
        </row>
        <row r="1426">
          <cell r="A1426">
            <v>-5.0500000000000004E-7</v>
          </cell>
          <cell r="B1426">
            <v>3.0606783576999998E-2</v>
          </cell>
        </row>
        <row r="1427">
          <cell r="A1427">
            <v>-4.9999999999999998E-7</v>
          </cell>
          <cell r="B1427">
            <v>2.9802763485000001E-2</v>
          </cell>
        </row>
        <row r="1428">
          <cell r="A1428">
            <v>-4.9500000000000003E-7</v>
          </cell>
          <cell r="B1428">
            <v>2.9802763485000001E-2</v>
          </cell>
        </row>
        <row r="1429">
          <cell r="A1429">
            <v>-4.8999999999999997E-7</v>
          </cell>
          <cell r="B1429">
            <v>3.0606783576999998E-2</v>
          </cell>
        </row>
        <row r="1430">
          <cell r="A1430">
            <v>-4.8500000000000002E-7</v>
          </cell>
          <cell r="B1430">
            <v>2.9802763485000001E-2</v>
          </cell>
        </row>
        <row r="1431">
          <cell r="A1431">
            <v>-4.7999999999999996E-7</v>
          </cell>
          <cell r="B1431">
            <v>3.1410803669000002E-2</v>
          </cell>
        </row>
        <row r="1432">
          <cell r="A1432">
            <v>-4.75E-7</v>
          </cell>
          <cell r="B1432">
            <v>2.9802763485000001E-2</v>
          </cell>
        </row>
        <row r="1433">
          <cell r="A1433">
            <v>-4.7E-7</v>
          </cell>
          <cell r="B1433">
            <v>2.8998743394E-2</v>
          </cell>
        </row>
        <row r="1434">
          <cell r="A1434">
            <v>-4.6499999999999999E-7</v>
          </cell>
          <cell r="B1434">
            <v>3.0606783576999998E-2</v>
          </cell>
        </row>
        <row r="1435">
          <cell r="A1435">
            <v>-4.5999999999999999E-7</v>
          </cell>
          <cell r="B1435">
            <v>2.9802763485000001E-2</v>
          </cell>
        </row>
        <row r="1436">
          <cell r="A1436">
            <v>-4.5499999999999998E-7</v>
          </cell>
          <cell r="B1436">
            <v>2.8998743393000001E-2</v>
          </cell>
        </row>
        <row r="1437">
          <cell r="A1437">
            <v>-4.4999999999999998E-7</v>
          </cell>
          <cell r="B1437">
            <v>2.8998743393000001E-2</v>
          </cell>
        </row>
        <row r="1438">
          <cell r="A1438">
            <v>-4.4499999999999997E-7</v>
          </cell>
          <cell r="B1438">
            <v>3.2214823761000003E-2</v>
          </cell>
        </row>
        <row r="1439">
          <cell r="A1439">
            <v>-4.4000000000000002E-7</v>
          </cell>
          <cell r="B1439">
            <v>3.0606783576999998E-2</v>
          </cell>
        </row>
        <row r="1440">
          <cell r="A1440">
            <v>-4.3500000000000002E-7</v>
          </cell>
          <cell r="B1440">
            <v>3.3822863944999997E-2</v>
          </cell>
        </row>
        <row r="1441">
          <cell r="A1441">
            <v>-4.3000000000000001E-7</v>
          </cell>
          <cell r="B1441">
            <v>3.1410803669000002E-2</v>
          </cell>
        </row>
        <row r="1442">
          <cell r="A1442">
            <v>-4.2500000000000001E-7</v>
          </cell>
          <cell r="B1442">
            <v>3.0606783576999998E-2</v>
          </cell>
        </row>
        <row r="1443">
          <cell r="A1443">
            <v>-4.2E-7</v>
          </cell>
          <cell r="B1443">
            <v>3.0606783576999998E-2</v>
          </cell>
        </row>
        <row r="1444">
          <cell r="A1444">
            <v>-4.15E-7</v>
          </cell>
          <cell r="B1444">
            <v>3.2214823761000003E-2</v>
          </cell>
        </row>
        <row r="1445">
          <cell r="A1445">
            <v>-4.0999999999999999E-7</v>
          </cell>
          <cell r="B1445">
            <v>2.9802763485000001E-2</v>
          </cell>
        </row>
        <row r="1446">
          <cell r="A1446">
            <v>-4.0499999999999999E-7</v>
          </cell>
          <cell r="B1446">
            <v>3.3018843853000003E-2</v>
          </cell>
        </row>
        <row r="1447">
          <cell r="A1447">
            <v>-3.9999999999999998E-7</v>
          </cell>
          <cell r="B1447">
            <v>3.0606783576999998E-2</v>
          </cell>
        </row>
        <row r="1448">
          <cell r="A1448">
            <v>-3.9499999999999998E-7</v>
          </cell>
          <cell r="B1448">
            <v>2.9802763486E-2</v>
          </cell>
        </row>
        <row r="1449">
          <cell r="A1449">
            <v>-3.9000000000000002E-7</v>
          </cell>
          <cell r="B1449">
            <v>2.8998743394E-2</v>
          </cell>
        </row>
        <row r="1450">
          <cell r="A1450">
            <v>-3.8500000000000002E-7</v>
          </cell>
          <cell r="B1450">
            <v>3.3018843853000003E-2</v>
          </cell>
        </row>
        <row r="1451">
          <cell r="A1451">
            <v>-3.8000000000000001E-7</v>
          </cell>
          <cell r="B1451">
            <v>3.0606783576999998E-2</v>
          </cell>
        </row>
        <row r="1452">
          <cell r="A1452">
            <v>-3.7500000000000001E-7</v>
          </cell>
          <cell r="B1452">
            <v>3.2214823761000003E-2</v>
          </cell>
        </row>
        <row r="1453">
          <cell r="A1453">
            <v>-3.7E-7</v>
          </cell>
          <cell r="B1453">
            <v>3.0606783576999998E-2</v>
          </cell>
        </row>
        <row r="1454">
          <cell r="A1454">
            <v>-3.65E-7</v>
          </cell>
          <cell r="B1454">
            <v>2.8194723301999999E-2</v>
          </cell>
        </row>
        <row r="1455">
          <cell r="A1455">
            <v>-3.5999999999999999E-7</v>
          </cell>
          <cell r="B1455">
            <v>2.8998743393000001E-2</v>
          </cell>
        </row>
        <row r="1456">
          <cell r="A1456">
            <v>-3.5499999999999999E-7</v>
          </cell>
          <cell r="B1456">
            <v>3.1410803669000002E-2</v>
          </cell>
        </row>
        <row r="1457">
          <cell r="A1457">
            <v>-3.4999999999999998E-7</v>
          </cell>
          <cell r="B1457">
            <v>2.8194723301999999E-2</v>
          </cell>
        </row>
        <row r="1458">
          <cell r="A1458">
            <v>-3.4499999999999998E-7</v>
          </cell>
          <cell r="B1458">
            <v>3.1410803669000002E-2</v>
          </cell>
        </row>
        <row r="1459">
          <cell r="A1459">
            <v>-3.3999999999999997E-7</v>
          </cell>
          <cell r="B1459">
            <v>3.3018843853000003E-2</v>
          </cell>
        </row>
        <row r="1460">
          <cell r="A1460">
            <v>-3.3500000000000002E-7</v>
          </cell>
          <cell r="B1460">
            <v>3.0606783576999998E-2</v>
          </cell>
        </row>
        <row r="1461">
          <cell r="A1461">
            <v>-3.3000000000000002E-7</v>
          </cell>
          <cell r="B1461">
            <v>2.9802763485000001E-2</v>
          </cell>
        </row>
        <row r="1462">
          <cell r="A1462">
            <v>-3.2500000000000001E-7</v>
          </cell>
          <cell r="B1462">
            <v>3.0606783576999998E-2</v>
          </cell>
        </row>
        <row r="1463">
          <cell r="A1463">
            <v>-3.2000000000000001E-7</v>
          </cell>
          <cell r="B1463">
            <v>2.8998743393000001E-2</v>
          </cell>
        </row>
        <row r="1464">
          <cell r="A1464">
            <v>-3.15E-7</v>
          </cell>
          <cell r="B1464">
            <v>2.9802763485000001E-2</v>
          </cell>
        </row>
        <row r="1465">
          <cell r="A1465">
            <v>-3.1E-7</v>
          </cell>
          <cell r="B1465">
            <v>3.1410803669000002E-2</v>
          </cell>
        </row>
        <row r="1466">
          <cell r="A1466">
            <v>-3.0499999999999999E-7</v>
          </cell>
          <cell r="B1466">
            <v>2.6586683117999999E-2</v>
          </cell>
        </row>
        <row r="1467">
          <cell r="A1467">
            <v>-2.9999999999999999E-7</v>
          </cell>
          <cell r="B1467">
            <v>2.9802763485000001E-2</v>
          </cell>
        </row>
        <row r="1468">
          <cell r="A1468">
            <v>-2.9499999999999998E-7</v>
          </cell>
          <cell r="B1468">
            <v>2.9802763485000001E-2</v>
          </cell>
        </row>
        <row r="1469">
          <cell r="A1469">
            <v>-2.8999999999999998E-7</v>
          </cell>
          <cell r="B1469">
            <v>3.1410803669000002E-2</v>
          </cell>
        </row>
        <row r="1470">
          <cell r="A1470">
            <v>-2.8500000000000002E-7</v>
          </cell>
          <cell r="B1470">
            <v>2.8998743393000001E-2</v>
          </cell>
        </row>
        <row r="1471">
          <cell r="A1471">
            <v>-2.8000000000000002E-7</v>
          </cell>
          <cell r="B1471">
            <v>3.2214823761000003E-2</v>
          </cell>
        </row>
        <row r="1472">
          <cell r="A1472">
            <v>-2.7500000000000001E-7</v>
          </cell>
          <cell r="B1472">
            <v>2.6586683117999999E-2</v>
          </cell>
        </row>
        <row r="1473">
          <cell r="A1473">
            <v>-2.7000000000000001E-7</v>
          </cell>
          <cell r="B1473">
            <v>3.1410803669000002E-2</v>
          </cell>
        </row>
        <row r="1474">
          <cell r="A1474">
            <v>-2.65E-7</v>
          </cell>
          <cell r="B1474">
            <v>3.0606783576999998E-2</v>
          </cell>
        </row>
        <row r="1475">
          <cell r="A1475">
            <v>-2.6E-7</v>
          </cell>
          <cell r="B1475">
            <v>2.9802763485000001E-2</v>
          </cell>
        </row>
        <row r="1476">
          <cell r="A1476">
            <v>-2.5499999999999999E-7</v>
          </cell>
          <cell r="B1476">
            <v>3.2214823761000003E-2</v>
          </cell>
        </row>
        <row r="1477">
          <cell r="A1477">
            <v>-2.4999999999999999E-7</v>
          </cell>
          <cell r="B1477">
            <v>3.0606783576999998E-2</v>
          </cell>
        </row>
        <row r="1478">
          <cell r="A1478">
            <v>-2.4499999999999998E-7</v>
          </cell>
          <cell r="B1478">
            <v>3.3822863944999997E-2</v>
          </cell>
        </row>
        <row r="1479">
          <cell r="A1479">
            <v>-2.3999999999999998E-7</v>
          </cell>
          <cell r="B1479">
            <v>2.8998743393000001E-2</v>
          </cell>
        </row>
        <row r="1480">
          <cell r="A1480">
            <v>-2.35E-7</v>
          </cell>
          <cell r="B1480">
            <v>2.9802763485000001E-2</v>
          </cell>
        </row>
        <row r="1481">
          <cell r="A1481">
            <v>-2.2999999999999999E-7</v>
          </cell>
          <cell r="B1481">
            <v>2.8998743393000001E-2</v>
          </cell>
        </row>
        <row r="1482">
          <cell r="A1482">
            <v>-2.2499999999999999E-7</v>
          </cell>
          <cell r="B1482">
            <v>3.1410803669000002E-2</v>
          </cell>
        </row>
        <row r="1483">
          <cell r="A1483">
            <v>-2.2000000000000001E-7</v>
          </cell>
          <cell r="B1483">
            <v>2.7390703209999999E-2</v>
          </cell>
        </row>
        <row r="1484">
          <cell r="A1484">
            <v>-2.1500000000000001E-7</v>
          </cell>
          <cell r="B1484">
            <v>2.9802763485000001E-2</v>
          </cell>
        </row>
        <row r="1485">
          <cell r="A1485">
            <v>-2.1E-7</v>
          </cell>
          <cell r="B1485">
            <v>2.9802763485000001E-2</v>
          </cell>
        </row>
        <row r="1486">
          <cell r="A1486">
            <v>-2.05E-7</v>
          </cell>
          <cell r="B1486">
            <v>3.3018843853000003E-2</v>
          </cell>
        </row>
        <row r="1487">
          <cell r="A1487">
            <v>-1.9999999999999999E-7</v>
          </cell>
          <cell r="B1487">
            <v>2.9802763485000001E-2</v>
          </cell>
        </row>
        <row r="1488">
          <cell r="A1488">
            <v>-1.9500000000000001E-7</v>
          </cell>
          <cell r="B1488">
            <v>3.1410803669000002E-2</v>
          </cell>
        </row>
        <row r="1489">
          <cell r="A1489">
            <v>-1.9000000000000001E-7</v>
          </cell>
          <cell r="B1489">
            <v>2.7390703209999999E-2</v>
          </cell>
        </row>
        <row r="1490">
          <cell r="A1490">
            <v>-1.85E-7</v>
          </cell>
          <cell r="B1490">
            <v>3.0606783576999998E-2</v>
          </cell>
        </row>
        <row r="1491">
          <cell r="A1491">
            <v>-1.8E-7</v>
          </cell>
          <cell r="B1491">
            <v>2.9802763486E-2</v>
          </cell>
        </row>
        <row r="1492">
          <cell r="A1492">
            <v>-1.7499999999999999E-7</v>
          </cell>
          <cell r="B1492">
            <v>3.0606783576999998E-2</v>
          </cell>
        </row>
        <row r="1493">
          <cell r="A1493">
            <v>-1.6999999999999999E-7</v>
          </cell>
          <cell r="B1493">
            <v>3.1410803669000002E-2</v>
          </cell>
        </row>
        <row r="1494">
          <cell r="A1494">
            <v>-1.6500000000000001E-7</v>
          </cell>
          <cell r="B1494">
            <v>2.9802763486E-2</v>
          </cell>
        </row>
        <row r="1495">
          <cell r="A1495">
            <v>-1.6E-7</v>
          </cell>
          <cell r="B1495">
            <v>3.1410803669000002E-2</v>
          </cell>
        </row>
        <row r="1496">
          <cell r="A1496">
            <v>-1.55E-7</v>
          </cell>
          <cell r="B1496">
            <v>2.8998743394E-2</v>
          </cell>
        </row>
        <row r="1497">
          <cell r="A1497">
            <v>-1.4999999999999999E-7</v>
          </cell>
          <cell r="B1497">
            <v>2.7390703209999999E-2</v>
          </cell>
        </row>
        <row r="1498">
          <cell r="A1498">
            <v>-1.4499999999999999E-7</v>
          </cell>
          <cell r="B1498">
            <v>3.2214823761000003E-2</v>
          </cell>
        </row>
        <row r="1499">
          <cell r="A1499">
            <v>-1.4000000000000001E-7</v>
          </cell>
          <cell r="B1499">
            <v>3.0606783576999998E-2</v>
          </cell>
        </row>
        <row r="1500">
          <cell r="A1500">
            <v>-1.35E-7</v>
          </cell>
          <cell r="B1500">
            <v>2.9802763485000001E-2</v>
          </cell>
        </row>
        <row r="1501">
          <cell r="A1501">
            <v>-1.3E-7</v>
          </cell>
          <cell r="B1501">
            <v>2.8194723301000001E-2</v>
          </cell>
        </row>
        <row r="1502">
          <cell r="A1502">
            <v>-1.2499999999999999E-7</v>
          </cell>
          <cell r="B1502">
            <v>3.2214823761000003E-2</v>
          </cell>
        </row>
        <row r="1503">
          <cell r="A1503">
            <v>-1.1999999999999999E-7</v>
          </cell>
          <cell r="B1503">
            <v>2.8998743393000001E-2</v>
          </cell>
        </row>
        <row r="1504">
          <cell r="A1504">
            <v>-1.15E-7</v>
          </cell>
          <cell r="B1504">
            <v>2.8194723301999999E-2</v>
          </cell>
        </row>
        <row r="1505">
          <cell r="A1505">
            <v>-1.1000000000000001E-7</v>
          </cell>
          <cell r="B1505">
            <v>2.9802763485000001E-2</v>
          </cell>
        </row>
        <row r="1506">
          <cell r="A1506">
            <v>-1.05E-7</v>
          </cell>
          <cell r="B1506">
            <v>2.7390703209999999E-2</v>
          </cell>
        </row>
        <row r="1507">
          <cell r="A1507">
            <v>-9.9999999999999995E-8</v>
          </cell>
          <cell r="B1507">
            <v>3.1410803669000002E-2</v>
          </cell>
        </row>
        <row r="1508">
          <cell r="A1508">
            <v>-9.5000000000000004E-8</v>
          </cell>
          <cell r="B1508">
            <v>3.0606783576999998E-2</v>
          </cell>
        </row>
        <row r="1509">
          <cell r="A1509">
            <v>-8.9999999999999999E-8</v>
          </cell>
          <cell r="B1509">
            <v>3.1410803669000002E-2</v>
          </cell>
        </row>
        <row r="1510">
          <cell r="A1510">
            <v>-8.4999999999999994E-8</v>
          </cell>
          <cell r="B1510">
            <v>2.8998743393000001E-2</v>
          </cell>
        </row>
        <row r="1511">
          <cell r="A1511">
            <v>-8.0000000000000002E-8</v>
          </cell>
          <cell r="B1511">
            <v>2.8998743393000001E-2</v>
          </cell>
        </row>
        <row r="1512">
          <cell r="A1512">
            <v>-7.4999999999999997E-8</v>
          </cell>
          <cell r="B1512">
            <v>2.8998743394E-2</v>
          </cell>
        </row>
        <row r="1513">
          <cell r="A1513">
            <v>-7.0000000000000005E-8</v>
          </cell>
          <cell r="B1513">
            <v>2.8998743393000001E-2</v>
          </cell>
        </row>
        <row r="1514">
          <cell r="A1514">
            <v>-6.5E-8</v>
          </cell>
          <cell r="B1514">
            <v>2.9802763485000001E-2</v>
          </cell>
        </row>
        <row r="1515">
          <cell r="A1515">
            <v>-5.9999999999999995E-8</v>
          </cell>
          <cell r="B1515">
            <v>2.9802763485000001E-2</v>
          </cell>
        </row>
        <row r="1516">
          <cell r="A1516">
            <v>-5.5000000000000003E-8</v>
          </cell>
          <cell r="B1516">
            <v>2.6586683117999999E-2</v>
          </cell>
        </row>
        <row r="1517">
          <cell r="A1517">
            <v>-4.9999999999999998E-8</v>
          </cell>
          <cell r="B1517">
            <v>3.2214823761000003E-2</v>
          </cell>
        </row>
        <row r="1518">
          <cell r="A1518">
            <v>-4.4999999999999999E-8</v>
          </cell>
          <cell r="B1518">
            <v>2.8998743393000001E-2</v>
          </cell>
        </row>
        <row r="1519">
          <cell r="A1519">
            <v>-4.0000000000000001E-8</v>
          </cell>
          <cell r="B1519">
            <v>2.7390703209E-2</v>
          </cell>
        </row>
        <row r="1520">
          <cell r="A1520">
            <v>-3.5000000000000002E-8</v>
          </cell>
          <cell r="B1520">
            <v>2.8194723301000001E-2</v>
          </cell>
        </row>
        <row r="1521">
          <cell r="A1521">
            <v>-2.9999999999999997E-8</v>
          </cell>
          <cell r="B1521">
            <v>2.8998743393000001E-2</v>
          </cell>
        </row>
        <row r="1522">
          <cell r="A1522">
            <v>-2.4999999999999999E-8</v>
          </cell>
          <cell r="B1522">
            <v>2.6586683117999999E-2</v>
          </cell>
        </row>
        <row r="1523">
          <cell r="A1523">
            <v>-2E-8</v>
          </cell>
          <cell r="B1523">
            <v>2.5782663026000002E-2</v>
          </cell>
        </row>
        <row r="1524">
          <cell r="A1524">
            <v>-1.4999999999999999E-8</v>
          </cell>
          <cell r="B1524">
            <v>2.9802763485000001E-2</v>
          </cell>
        </row>
        <row r="1525">
          <cell r="A1525">
            <v>-1E-8</v>
          </cell>
          <cell r="B1525">
            <v>2.8194723301999999E-2</v>
          </cell>
        </row>
        <row r="1526">
          <cell r="A1526">
            <v>-5.0000000000000001E-9</v>
          </cell>
          <cell r="B1526">
            <v>2.7390703209999999E-2</v>
          </cell>
        </row>
        <row r="1527">
          <cell r="A1527">
            <v>0</v>
          </cell>
          <cell r="B1527">
            <v>2.8194723301999999E-2</v>
          </cell>
        </row>
        <row r="1528">
          <cell r="A1528">
            <v>5.0000000000000001E-9</v>
          </cell>
          <cell r="B1528">
            <v>2.8998743393000001E-2</v>
          </cell>
        </row>
        <row r="1529">
          <cell r="A1529">
            <v>1E-8</v>
          </cell>
          <cell r="B1529">
            <v>2.6586683117999999E-2</v>
          </cell>
        </row>
        <row r="1530">
          <cell r="A1530">
            <v>1.4999999999999999E-8</v>
          </cell>
          <cell r="B1530">
            <v>2.9802763485000001E-2</v>
          </cell>
        </row>
        <row r="1531">
          <cell r="A1531">
            <v>2E-8</v>
          </cell>
          <cell r="B1531">
            <v>2.7390703209999999E-2</v>
          </cell>
        </row>
        <row r="1532">
          <cell r="A1532">
            <v>2.4999999999999999E-8</v>
          </cell>
          <cell r="B1532">
            <v>3.0606783576999998E-2</v>
          </cell>
        </row>
        <row r="1533">
          <cell r="A1533">
            <v>2.9999999999999997E-8</v>
          </cell>
          <cell r="B1533">
            <v>2.9802763485000001E-2</v>
          </cell>
        </row>
        <row r="1534">
          <cell r="A1534">
            <v>3.5000000000000002E-8</v>
          </cell>
          <cell r="B1534">
            <v>2.6586683117999999E-2</v>
          </cell>
        </row>
        <row r="1535">
          <cell r="A1535">
            <v>4.0000000000000001E-8</v>
          </cell>
          <cell r="B1535">
            <v>2.9802763485000001E-2</v>
          </cell>
        </row>
        <row r="1536">
          <cell r="A1536">
            <v>4.4999999999999999E-8</v>
          </cell>
          <cell r="B1536">
            <v>3.2214823761000003E-2</v>
          </cell>
        </row>
        <row r="1537">
          <cell r="A1537">
            <v>4.9999999999999998E-8</v>
          </cell>
          <cell r="B1537">
            <v>2.9802763485000001E-2</v>
          </cell>
        </row>
        <row r="1538">
          <cell r="A1538">
            <v>5.5000000000000003E-8</v>
          </cell>
          <cell r="B1538">
            <v>2.9802763485000001E-2</v>
          </cell>
        </row>
        <row r="1539">
          <cell r="A1539">
            <v>5.9999999999999995E-8</v>
          </cell>
          <cell r="B1539">
            <v>2.9802763485000001E-2</v>
          </cell>
        </row>
        <row r="1540">
          <cell r="A1540">
            <v>6.5E-8</v>
          </cell>
          <cell r="B1540">
            <v>3.1410803669000002E-2</v>
          </cell>
        </row>
        <row r="1541">
          <cell r="A1541">
            <v>7.0000000000000005E-8</v>
          </cell>
          <cell r="B1541">
            <v>3.0606783576999998E-2</v>
          </cell>
        </row>
        <row r="1542">
          <cell r="A1542">
            <v>7.4999999999999997E-8</v>
          </cell>
          <cell r="B1542">
            <v>3.4626884036999997E-2</v>
          </cell>
        </row>
        <row r="1543">
          <cell r="A1543">
            <v>8.0000000000000002E-8</v>
          </cell>
          <cell r="B1543">
            <v>2.9802763485000001E-2</v>
          </cell>
        </row>
        <row r="1544">
          <cell r="A1544">
            <v>8.4999999999999994E-8</v>
          </cell>
          <cell r="B1544">
            <v>3.0606783576999998E-2</v>
          </cell>
        </row>
        <row r="1545">
          <cell r="A1545">
            <v>8.9999999999999999E-8</v>
          </cell>
          <cell r="B1545">
            <v>3.1410803669000002E-2</v>
          </cell>
        </row>
        <row r="1546">
          <cell r="A1546">
            <v>9.5000000000000004E-8</v>
          </cell>
          <cell r="B1546">
            <v>3.0606783576999998E-2</v>
          </cell>
        </row>
        <row r="1547">
          <cell r="A1547">
            <v>9.9999999999999995E-8</v>
          </cell>
          <cell r="B1547">
            <v>2.9802763485000001E-2</v>
          </cell>
        </row>
        <row r="1548">
          <cell r="A1548">
            <v>1.05E-7</v>
          </cell>
          <cell r="B1548">
            <v>2.9802763485000001E-2</v>
          </cell>
        </row>
        <row r="1549">
          <cell r="A1549">
            <v>1.1000000000000001E-7</v>
          </cell>
          <cell r="B1549">
            <v>2.9802763485000001E-2</v>
          </cell>
        </row>
        <row r="1550">
          <cell r="A1550">
            <v>1.15E-7</v>
          </cell>
          <cell r="B1550">
            <v>2.8194723301999999E-2</v>
          </cell>
        </row>
        <row r="1551">
          <cell r="A1551">
            <v>1.1999999999999999E-7</v>
          </cell>
          <cell r="B1551">
            <v>2.8998743393000001E-2</v>
          </cell>
        </row>
        <row r="1552">
          <cell r="A1552">
            <v>1.2499999999999999E-7</v>
          </cell>
          <cell r="B1552">
            <v>3.3018843853000003E-2</v>
          </cell>
        </row>
        <row r="1553">
          <cell r="A1553">
            <v>1.3E-7</v>
          </cell>
          <cell r="B1553">
            <v>2.9802763485000001E-2</v>
          </cell>
        </row>
        <row r="1554">
          <cell r="A1554">
            <v>1.35E-7</v>
          </cell>
          <cell r="B1554">
            <v>2.8194723301000001E-2</v>
          </cell>
        </row>
        <row r="1555">
          <cell r="A1555">
            <v>1.4000000000000001E-7</v>
          </cell>
          <cell r="B1555">
            <v>2.9802763485000001E-2</v>
          </cell>
        </row>
        <row r="1556">
          <cell r="A1556">
            <v>1.4499999999999999E-7</v>
          </cell>
          <cell r="B1556">
            <v>3.1410803669000002E-2</v>
          </cell>
        </row>
        <row r="1557">
          <cell r="A1557">
            <v>1.4999999999999999E-7</v>
          </cell>
          <cell r="B1557">
            <v>2.6586683117999999E-2</v>
          </cell>
        </row>
        <row r="1558">
          <cell r="A1558">
            <v>1.55E-7</v>
          </cell>
          <cell r="B1558">
            <v>2.4174622842000001E-2</v>
          </cell>
        </row>
        <row r="1559">
          <cell r="A1559">
            <v>1.6E-7</v>
          </cell>
          <cell r="B1559">
            <v>2.4978642934000001E-2</v>
          </cell>
        </row>
        <row r="1560">
          <cell r="A1560">
            <v>1.6500000000000001E-7</v>
          </cell>
          <cell r="B1560">
            <v>2.5782663026000002E-2</v>
          </cell>
        </row>
        <row r="1561">
          <cell r="A1561">
            <v>1.6999999999999999E-7</v>
          </cell>
          <cell r="B1561">
            <v>2.0154522381999999E-2</v>
          </cell>
        </row>
        <row r="1562">
          <cell r="A1562">
            <v>1.7499999999999999E-7</v>
          </cell>
          <cell r="B1562">
            <v>2.0958542475000001E-2</v>
          </cell>
        </row>
        <row r="1563">
          <cell r="A1563">
            <v>1.8E-7</v>
          </cell>
          <cell r="B1563">
            <v>2.1762562566E-2</v>
          </cell>
        </row>
        <row r="1564">
          <cell r="A1564">
            <v>1.85E-7</v>
          </cell>
          <cell r="B1564">
            <v>1.6938442014999999E-2</v>
          </cell>
        </row>
        <row r="1565">
          <cell r="A1565">
            <v>1.9000000000000001E-7</v>
          </cell>
          <cell r="B1565">
            <v>1.4526381739E-2</v>
          </cell>
        </row>
        <row r="1566">
          <cell r="A1566">
            <v>1.9500000000000001E-7</v>
          </cell>
          <cell r="B1566">
            <v>1.2114321464000001E-2</v>
          </cell>
        </row>
        <row r="1567">
          <cell r="A1567">
            <v>1.9999999999999999E-7</v>
          </cell>
          <cell r="B1567">
            <v>1.050628128E-2</v>
          </cell>
        </row>
        <row r="1568">
          <cell r="A1568">
            <v>2.05E-7</v>
          </cell>
          <cell r="B1568">
            <v>1.2114321464000001E-2</v>
          </cell>
        </row>
        <row r="1569">
          <cell r="A1569">
            <v>2.1E-7</v>
          </cell>
          <cell r="B1569">
            <v>7.290200912E-3</v>
          </cell>
        </row>
        <row r="1570">
          <cell r="A1570">
            <v>2.1500000000000001E-7</v>
          </cell>
          <cell r="B1570">
            <v>1.6620602689999999E-3</v>
          </cell>
        </row>
        <row r="1571">
          <cell r="A1571">
            <v>2.2000000000000001E-7</v>
          </cell>
          <cell r="B1571">
            <v>7.290200912E-3</v>
          </cell>
        </row>
        <row r="1572">
          <cell r="A1572">
            <v>2.2499999999999999E-7</v>
          </cell>
          <cell r="B1572">
            <v>-5.5741205579999996E-3</v>
          </cell>
        </row>
        <row r="1573">
          <cell r="A1573">
            <v>2.2999999999999999E-7</v>
          </cell>
          <cell r="B1573">
            <v>-3.1620602820000001E-3</v>
          </cell>
        </row>
        <row r="1574">
          <cell r="A1574">
            <v>2.35E-7</v>
          </cell>
          <cell r="B1574">
            <v>-4.7701004660000001E-3</v>
          </cell>
        </row>
        <row r="1575">
          <cell r="A1575">
            <v>2.3999999999999998E-7</v>
          </cell>
          <cell r="B1575">
            <v>-8.790200925E-3</v>
          </cell>
        </row>
        <row r="1576">
          <cell r="A1576">
            <v>2.4499999999999998E-7</v>
          </cell>
          <cell r="B1576">
            <v>-7.9861808329999995E-3</v>
          </cell>
        </row>
        <row r="1577">
          <cell r="A1577">
            <v>2.4999999999999999E-7</v>
          </cell>
          <cell r="B1577">
            <v>-1.3614321477000001E-2</v>
          </cell>
        </row>
        <row r="1578">
          <cell r="A1578">
            <v>2.5499999999999999E-7</v>
          </cell>
          <cell r="B1578">
            <v>-1.0398241109000001E-2</v>
          </cell>
        </row>
        <row r="1579">
          <cell r="A1579">
            <v>2.6E-7</v>
          </cell>
          <cell r="B1579">
            <v>-1.5222361661E-2</v>
          </cell>
        </row>
        <row r="1580">
          <cell r="A1580">
            <v>2.65E-7</v>
          </cell>
          <cell r="B1580">
            <v>-1.2810301385E-2</v>
          </cell>
        </row>
        <row r="1581">
          <cell r="A1581">
            <v>2.7000000000000001E-7</v>
          </cell>
          <cell r="B1581">
            <v>-2.0046482211999998E-2</v>
          </cell>
        </row>
        <row r="1582">
          <cell r="A1582">
            <v>2.7500000000000001E-7</v>
          </cell>
          <cell r="B1582">
            <v>-1.4418341568000001E-2</v>
          </cell>
        </row>
        <row r="1583">
          <cell r="A1583">
            <v>2.8000000000000002E-7</v>
          </cell>
          <cell r="B1583">
            <v>-2.0850502303999999E-2</v>
          </cell>
        </row>
        <row r="1584">
          <cell r="A1584">
            <v>2.8500000000000002E-7</v>
          </cell>
          <cell r="B1584">
            <v>-2.0046482211999998E-2</v>
          </cell>
        </row>
        <row r="1585">
          <cell r="A1585">
            <v>2.8999999999999998E-7</v>
          </cell>
          <cell r="B1585">
            <v>-1.8438442028000001E-2</v>
          </cell>
        </row>
        <row r="1586">
          <cell r="A1586">
            <v>2.9499999999999998E-7</v>
          </cell>
          <cell r="B1586">
            <v>-2.4066582671000002E-2</v>
          </cell>
        </row>
        <row r="1587">
          <cell r="A1587">
            <v>2.9999999999999999E-7</v>
          </cell>
          <cell r="B1587">
            <v>-1.8438442028000001E-2</v>
          </cell>
        </row>
        <row r="1588">
          <cell r="A1588">
            <v>3.0499999999999999E-7</v>
          </cell>
          <cell r="B1588">
            <v>-2.1654522395999999E-2</v>
          </cell>
        </row>
        <row r="1589">
          <cell r="A1589">
            <v>3.1E-7</v>
          </cell>
          <cell r="B1589">
            <v>-2.0046482211999998E-2</v>
          </cell>
        </row>
        <row r="1590">
          <cell r="A1590">
            <v>3.15E-7</v>
          </cell>
          <cell r="B1590">
            <v>-2.4066582671000002E-2</v>
          </cell>
        </row>
        <row r="1591">
          <cell r="A1591">
            <v>3.2000000000000001E-7</v>
          </cell>
          <cell r="B1591">
            <v>-2.0046482211999998E-2</v>
          </cell>
        </row>
        <row r="1592">
          <cell r="A1592">
            <v>3.2500000000000001E-7</v>
          </cell>
          <cell r="B1592">
            <v>-2.2458542487000001E-2</v>
          </cell>
        </row>
        <row r="1593">
          <cell r="A1593">
            <v>3.3000000000000002E-7</v>
          </cell>
          <cell r="B1593">
            <v>-1.9242462120000001E-2</v>
          </cell>
        </row>
        <row r="1594">
          <cell r="A1594">
            <v>3.3500000000000002E-7</v>
          </cell>
          <cell r="B1594">
            <v>-1.9242462120000001E-2</v>
          </cell>
        </row>
        <row r="1595">
          <cell r="A1595">
            <v>3.3999999999999997E-7</v>
          </cell>
          <cell r="B1595">
            <v>-2.0046482211999998E-2</v>
          </cell>
        </row>
        <row r="1596">
          <cell r="A1596">
            <v>3.4499999999999998E-7</v>
          </cell>
          <cell r="B1596">
            <v>-2.0850502303999999E-2</v>
          </cell>
        </row>
        <row r="1597">
          <cell r="A1597">
            <v>3.4999999999999998E-7</v>
          </cell>
          <cell r="B1597">
            <v>-1.9242462120000001E-2</v>
          </cell>
        </row>
        <row r="1598">
          <cell r="A1598">
            <v>3.5499999999999999E-7</v>
          </cell>
          <cell r="B1598">
            <v>-1.8438442028000001E-2</v>
          </cell>
        </row>
        <row r="1599">
          <cell r="A1599">
            <v>3.5999999999999999E-7</v>
          </cell>
          <cell r="B1599">
            <v>-1.8438442028000001E-2</v>
          </cell>
        </row>
        <row r="1600">
          <cell r="A1600">
            <v>3.65E-7</v>
          </cell>
          <cell r="B1600">
            <v>-1.9242462120000001E-2</v>
          </cell>
        </row>
        <row r="1601">
          <cell r="A1601">
            <v>3.7E-7</v>
          </cell>
          <cell r="B1601">
            <v>-1.6026381752999998E-2</v>
          </cell>
        </row>
        <row r="1602">
          <cell r="A1602">
            <v>3.7500000000000001E-7</v>
          </cell>
          <cell r="B1602">
            <v>-2.0046482211999998E-2</v>
          </cell>
        </row>
        <row r="1603">
          <cell r="A1603">
            <v>3.8000000000000001E-7</v>
          </cell>
          <cell r="B1603">
            <v>-1.6830401844E-2</v>
          </cell>
        </row>
        <row r="1604">
          <cell r="A1604">
            <v>3.8500000000000002E-7</v>
          </cell>
          <cell r="B1604">
            <v>-1.9242462120000001E-2</v>
          </cell>
        </row>
        <row r="1605">
          <cell r="A1605">
            <v>3.9000000000000002E-7</v>
          </cell>
          <cell r="B1605">
            <v>-2.326256258E-2</v>
          </cell>
        </row>
        <row r="1606">
          <cell r="A1606">
            <v>3.9499999999999998E-7</v>
          </cell>
          <cell r="B1606">
            <v>-1.9242462120000001E-2</v>
          </cell>
        </row>
        <row r="1607">
          <cell r="A1607">
            <v>3.9999999999999998E-7</v>
          </cell>
          <cell r="B1607">
            <v>-2.0850502303999999E-2</v>
          </cell>
        </row>
        <row r="1608">
          <cell r="A1608">
            <v>4.0499999999999999E-7</v>
          </cell>
          <cell r="B1608">
            <v>-2.0850502303999999E-2</v>
          </cell>
        </row>
        <row r="1609">
          <cell r="A1609">
            <v>4.0999999999999999E-7</v>
          </cell>
          <cell r="B1609">
            <v>-2.2458542487000001E-2</v>
          </cell>
        </row>
        <row r="1610">
          <cell r="A1610">
            <v>4.15E-7</v>
          </cell>
          <cell r="B1610">
            <v>-2.1654522395999999E-2</v>
          </cell>
        </row>
        <row r="1611">
          <cell r="A1611">
            <v>4.2E-7</v>
          </cell>
          <cell r="B1611">
            <v>-2.5674622854999999E-2</v>
          </cell>
        </row>
        <row r="1612">
          <cell r="A1612">
            <v>4.2500000000000001E-7</v>
          </cell>
          <cell r="B1612">
            <v>-2.0850502303999999E-2</v>
          </cell>
        </row>
        <row r="1613">
          <cell r="A1613">
            <v>4.3000000000000001E-7</v>
          </cell>
          <cell r="B1613">
            <v>-2.4870602762999999E-2</v>
          </cell>
        </row>
        <row r="1614">
          <cell r="A1614">
            <v>4.3500000000000002E-7</v>
          </cell>
          <cell r="B1614">
            <v>-2.3262562579000001E-2</v>
          </cell>
        </row>
        <row r="1615">
          <cell r="A1615">
            <v>4.4000000000000002E-7</v>
          </cell>
          <cell r="B1615">
            <v>-2.2458542488E-2</v>
          </cell>
        </row>
        <row r="1616">
          <cell r="A1616">
            <v>4.4499999999999997E-7</v>
          </cell>
          <cell r="B1616">
            <v>-2.326256258E-2</v>
          </cell>
        </row>
        <row r="1617">
          <cell r="A1617">
            <v>4.4999999999999998E-7</v>
          </cell>
          <cell r="B1617">
            <v>-2.7282663039E-2</v>
          </cell>
        </row>
        <row r="1618">
          <cell r="A1618">
            <v>4.5499999999999998E-7</v>
          </cell>
          <cell r="B1618">
            <v>-2.2458542488E-2</v>
          </cell>
        </row>
        <row r="1619">
          <cell r="A1619">
            <v>4.5999999999999999E-7</v>
          </cell>
          <cell r="B1619">
            <v>-2.5674622854999999E-2</v>
          </cell>
        </row>
        <row r="1620">
          <cell r="A1620">
            <v>4.6499999999999999E-7</v>
          </cell>
          <cell r="B1620">
            <v>-2.8086683131E-2</v>
          </cell>
        </row>
        <row r="1621">
          <cell r="A1621">
            <v>4.7E-7</v>
          </cell>
          <cell r="B1621">
            <v>-2.5674622854999999E-2</v>
          </cell>
        </row>
        <row r="1622">
          <cell r="A1622">
            <v>4.75E-7</v>
          </cell>
          <cell r="B1622">
            <v>-2.8890703223000001E-2</v>
          </cell>
        </row>
        <row r="1623">
          <cell r="A1623">
            <v>4.7999999999999996E-7</v>
          </cell>
          <cell r="B1623">
            <v>-2.0850502303999999E-2</v>
          </cell>
        </row>
        <row r="1624">
          <cell r="A1624">
            <v>4.8500000000000002E-7</v>
          </cell>
          <cell r="B1624">
            <v>-3.1302763498E-2</v>
          </cell>
        </row>
        <row r="1625">
          <cell r="A1625">
            <v>4.8999999999999997E-7</v>
          </cell>
          <cell r="B1625">
            <v>-2.4870602762999999E-2</v>
          </cell>
        </row>
        <row r="1626">
          <cell r="A1626">
            <v>4.9500000000000003E-7</v>
          </cell>
          <cell r="B1626">
            <v>-3.0498743405999999E-2</v>
          </cell>
        </row>
        <row r="1627">
          <cell r="A1627">
            <v>4.9999999999999998E-7</v>
          </cell>
          <cell r="B1627">
            <v>-2.5674622854999999E-2</v>
          </cell>
        </row>
        <row r="1628">
          <cell r="A1628">
            <v>5.0500000000000004E-7</v>
          </cell>
          <cell r="B1628">
            <v>-2.8086683131E-2</v>
          </cell>
        </row>
        <row r="1629">
          <cell r="A1629">
            <v>5.0999999999999999E-7</v>
          </cell>
          <cell r="B1629">
            <v>-2.5674622854999999E-2</v>
          </cell>
        </row>
        <row r="1630">
          <cell r="A1630">
            <v>5.1500000000000005E-7</v>
          </cell>
          <cell r="B1630">
            <v>-2.5674622854999999E-2</v>
          </cell>
        </row>
        <row r="1631">
          <cell r="A1631">
            <v>5.2E-7</v>
          </cell>
          <cell r="B1631">
            <v>-2.7282663039E-2</v>
          </cell>
        </row>
        <row r="1632">
          <cell r="A1632">
            <v>5.2499999999999995E-7</v>
          </cell>
          <cell r="B1632">
            <v>-2.6478642946999999E-2</v>
          </cell>
        </row>
        <row r="1633">
          <cell r="A1633">
            <v>5.3000000000000001E-7</v>
          </cell>
          <cell r="B1633">
            <v>-2.8086683131E-2</v>
          </cell>
        </row>
        <row r="1634">
          <cell r="A1634">
            <v>5.3499999999999996E-7</v>
          </cell>
          <cell r="B1634">
            <v>-2.5674622854999999E-2</v>
          </cell>
        </row>
        <row r="1635">
          <cell r="A1635">
            <v>5.4000000000000002E-7</v>
          </cell>
          <cell r="B1635">
            <v>-2.8086683131E-2</v>
          </cell>
        </row>
        <row r="1636">
          <cell r="A1636">
            <v>5.4499999999999997E-7</v>
          </cell>
          <cell r="B1636">
            <v>-2.8890703223000001E-2</v>
          </cell>
        </row>
        <row r="1637">
          <cell r="A1637">
            <v>5.5000000000000003E-7</v>
          </cell>
          <cell r="B1637">
            <v>-2.7282663039E-2</v>
          </cell>
        </row>
        <row r="1638">
          <cell r="A1638">
            <v>5.5499999999999998E-7</v>
          </cell>
          <cell r="B1638">
            <v>-2.9694723315000001E-2</v>
          </cell>
        </row>
        <row r="1639">
          <cell r="A1639">
            <v>5.6000000000000004E-7</v>
          </cell>
          <cell r="B1639">
            <v>-2.7282663039E-2</v>
          </cell>
        </row>
        <row r="1640">
          <cell r="A1640">
            <v>5.6499999999999999E-7</v>
          </cell>
          <cell r="B1640">
            <v>-2.5674622854999999E-2</v>
          </cell>
        </row>
        <row r="1641">
          <cell r="A1641">
            <v>5.7000000000000005E-7</v>
          </cell>
          <cell r="B1641">
            <v>-2.9694723313999999E-2</v>
          </cell>
        </row>
        <row r="1642">
          <cell r="A1642">
            <v>5.75E-7</v>
          </cell>
          <cell r="B1642">
            <v>-2.4066582672E-2</v>
          </cell>
        </row>
        <row r="1643">
          <cell r="A1643">
            <v>5.7999999999999995E-7</v>
          </cell>
          <cell r="B1643">
            <v>-2.6478642946999999E-2</v>
          </cell>
        </row>
        <row r="1644">
          <cell r="A1644">
            <v>5.8500000000000001E-7</v>
          </cell>
          <cell r="B1644">
            <v>-2.7282663039E-2</v>
          </cell>
        </row>
        <row r="1645">
          <cell r="A1645">
            <v>5.8999999999999996E-7</v>
          </cell>
          <cell r="B1645">
            <v>-2.8890703223000001E-2</v>
          </cell>
        </row>
        <row r="1646">
          <cell r="A1646">
            <v>5.9500000000000002E-7</v>
          </cell>
          <cell r="B1646">
            <v>-2.8086683131E-2</v>
          </cell>
        </row>
        <row r="1647">
          <cell r="A1647">
            <v>5.9999999999999997E-7</v>
          </cell>
          <cell r="B1647">
            <v>-2.7282663039E-2</v>
          </cell>
        </row>
        <row r="1648">
          <cell r="A1648">
            <v>6.0500000000000003E-7</v>
          </cell>
          <cell r="B1648">
            <v>-2.5674622854999999E-2</v>
          </cell>
        </row>
        <row r="1649">
          <cell r="A1649">
            <v>6.0999999999999998E-7</v>
          </cell>
          <cell r="B1649">
            <v>-2.8890703223000001E-2</v>
          </cell>
        </row>
        <row r="1650">
          <cell r="A1650">
            <v>6.1500000000000004E-7</v>
          </cell>
          <cell r="B1650">
            <v>-2.4870602762999999E-2</v>
          </cell>
        </row>
        <row r="1651">
          <cell r="A1651">
            <v>6.1999999999999999E-7</v>
          </cell>
          <cell r="B1651">
            <v>-2.4870602762999999E-2</v>
          </cell>
        </row>
        <row r="1652">
          <cell r="A1652">
            <v>6.2500000000000005E-7</v>
          </cell>
          <cell r="B1652">
            <v>-2.9694723313999999E-2</v>
          </cell>
        </row>
        <row r="1653">
          <cell r="A1653">
            <v>6.3E-7</v>
          </cell>
          <cell r="B1653">
            <v>-2.8086683131E-2</v>
          </cell>
        </row>
        <row r="1654">
          <cell r="A1654">
            <v>6.3499999999999996E-7</v>
          </cell>
          <cell r="B1654">
            <v>-2.9694723313999999E-2</v>
          </cell>
        </row>
        <row r="1655">
          <cell r="A1655">
            <v>6.4000000000000001E-7</v>
          </cell>
          <cell r="B1655">
            <v>-2.9694723315000001E-2</v>
          </cell>
        </row>
        <row r="1656">
          <cell r="A1656">
            <v>6.4499999999999997E-7</v>
          </cell>
          <cell r="B1656">
            <v>-2.6478642946999999E-2</v>
          </cell>
        </row>
        <row r="1657">
          <cell r="A1657">
            <v>6.5000000000000002E-7</v>
          </cell>
          <cell r="B1657">
            <v>-2.8890703223000001E-2</v>
          </cell>
        </row>
        <row r="1658">
          <cell r="A1658">
            <v>6.5499999999999998E-7</v>
          </cell>
          <cell r="B1658">
            <v>-2.8890703223000001E-2</v>
          </cell>
        </row>
        <row r="1659">
          <cell r="A1659">
            <v>6.6000000000000003E-7</v>
          </cell>
          <cell r="B1659">
            <v>-2.6478642946999999E-2</v>
          </cell>
        </row>
        <row r="1660">
          <cell r="A1660">
            <v>6.6499999999999999E-7</v>
          </cell>
          <cell r="B1660">
            <v>-2.9694723315000001E-2</v>
          </cell>
        </row>
        <row r="1661">
          <cell r="A1661">
            <v>6.7000000000000004E-7</v>
          </cell>
          <cell r="B1661">
            <v>-2.9694723313999999E-2</v>
          </cell>
        </row>
        <row r="1662">
          <cell r="A1662">
            <v>6.75E-7</v>
          </cell>
          <cell r="B1662">
            <v>-2.8890703223000001E-2</v>
          </cell>
        </row>
        <row r="1663">
          <cell r="A1663">
            <v>6.7999999999999995E-7</v>
          </cell>
          <cell r="B1663">
            <v>-2.8890703223000001E-2</v>
          </cell>
        </row>
        <row r="1664">
          <cell r="A1664">
            <v>6.8500000000000001E-7</v>
          </cell>
          <cell r="B1664">
            <v>-3.0498743407000001E-2</v>
          </cell>
        </row>
        <row r="1665">
          <cell r="A1665">
            <v>6.8999999999999996E-7</v>
          </cell>
          <cell r="B1665">
            <v>-3.1302763498E-2</v>
          </cell>
        </row>
        <row r="1666">
          <cell r="A1666">
            <v>6.9500000000000002E-7</v>
          </cell>
          <cell r="B1666">
            <v>-2.8890703223000001E-2</v>
          </cell>
        </row>
        <row r="1667">
          <cell r="A1667">
            <v>6.9999999999999997E-7</v>
          </cell>
          <cell r="B1667">
            <v>-3.1302763498E-2</v>
          </cell>
        </row>
        <row r="1668">
          <cell r="A1668">
            <v>7.0500000000000003E-7</v>
          </cell>
          <cell r="B1668">
            <v>-3.210678359E-2</v>
          </cell>
        </row>
        <row r="1669">
          <cell r="A1669">
            <v>7.0999999999999998E-7</v>
          </cell>
          <cell r="B1669">
            <v>-3.3714823774000001E-2</v>
          </cell>
        </row>
        <row r="1670">
          <cell r="A1670">
            <v>7.1500000000000004E-7</v>
          </cell>
          <cell r="B1670">
            <v>-3.2910803682000001E-2</v>
          </cell>
        </row>
        <row r="1671">
          <cell r="A1671">
            <v>7.1999999999999999E-7</v>
          </cell>
          <cell r="B1671">
            <v>-3.2910803682000001E-2</v>
          </cell>
        </row>
        <row r="1672">
          <cell r="A1672">
            <v>7.2500000000000005E-7</v>
          </cell>
          <cell r="B1672">
            <v>-3.4518843866000001E-2</v>
          </cell>
        </row>
        <row r="1673">
          <cell r="A1673">
            <v>7.3E-7</v>
          </cell>
          <cell r="B1673">
            <v>-3.3714823774000001E-2</v>
          </cell>
        </row>
        <row r="1674">
          <cell r="A1674">
            <v>7.3499999999999995E-7</v>
          </cell>
          <cell r="B1674">
            <v>-3.6126884050000002E-2</v>
          </cell>
        </row>
        <row r="1675">
          <cell r="A1675">
            <v>7.4000000000000001E-7</v>
          </cell>
          <cell r="B1675">
            <v>-3.3714823774000001E-2</v>
          </cell>
        </row>
        <row r="1676">
          <cell r="A1676">
            <v>7.4499999999999996E-7</v>
          </cell>
          <cell r="B1676">
            <v>-3.5322863958000002E-2</v>
          </cell>
        </row>
        <row r="1677">
          <cell r="A1677">
            <v>7.5000000000000002E-7</v>
          </cell>
          <cell r="B1677">
            <v>-3.2910803682000001E-2</v>
          </cell>
        </row>
        <row r="1678">
          <cell r="A1678">
            <v>7.5499999999999997E-7</v>
          </cell>
          <cell r="B1678">
            <v>-3.4518843866000001E-2</v>
          </cell>
        </row>
        <row r="1679">
          <cell r="A1679">
            <v>7.6000000000000003E-7</v>
          </cell>
          <cell r="B1679">
            <v>-3.5322863958000002E-2</v>
          </cell>
        </row>
        <row r="1680">
          <cell r="A1680">
            <v>7.6499999999999998E-7</v>
          </cell>
          <cell r="B1680">
            <v>-3.6126884050000002E-2</v>
          </cell>
        </row>
        <row r="1681">
          <cell r="A1681">
            <v>7.7000000000000004E-7</v>
          </cell>
          <cell r="B1681">
            <v>-3.4518843866000001E-2</v>
          </cell>
        </row>
        <row r="1682">
          <cell r="A1682">
            <v>7.7499999999999999E-7</v>
          </cell>
          <cell r="B1682">
            <v>-3.2910803682000001E-2</v>
          </cell>
        </row>
        <row r="1683">
          <cell r="A1683">
            <v>7.8000000000000005E-7</v>
          </cell>
          <cell r="B1683">
            <v>-3.6126884050000002E-2</v>
          </cell>
        </row>
        <row r="1684">
          <cell r="A1684">
            <v>7.85E-7</v>
          </cell>
          <cell r="B1684">
            <v>-3.2910803682000001E-2</v>
          </cell>
        </row>
        <row r="1685">
          <cell r="A1685">
            <v>7.8999999999999995E-7</v>
          </cell>
          <cell r="B1685">
            <v>-3.4518843866000001E-2</v>
          </cell>
        </row>
        <row r="1686">
          <cell r="A1686">
            <v>7.9500000000000001E-7</v>
          </cell>
          <cell r="B1686">
            <v>-3.210678359E-2</v>
          </cell>
        </row>
        <row r="1687">
          <cell r="A1687">
            <v>7.9999999999999996E-7</v>
          </cell>
          <cell r="B1687">
            <v>-3.2910803682999999E-2</v>
          </cell>
        </row>
        <row r="1688">
          <cell r="A1688">
            <v>8.0500000000000002E-7</v>
          </cell>
          <cell r="B1688">
            <v>-3.210678359E-2</v>
          </cell>
        </row>
        <row r="1689">
          <cell r="A1689">
            <v>8.0999999999999997E-7</v>
          </cell>
          <cell r="B1689">
            <v>-2.8890703223000001E-2</v>
          </cell>
        </row>
        <row r="1690">
          <cell r="A1690">
            <v>8.1500000000000003E-7</v>
          </cell>
          <cell r="B1690">
            <v>-3.3714823774000001E-2</v>
          </cell>
        </row>
        <row r="1691">
          <cell r="A1691">
            <v>8.1999999999999998E-7</v>
          </cell>
          <cell r="B1691">
            <v>-3.4518843866000001E-2</v>
          </cell>
        </row>
        <row r="1692">
          <cell r="A1692">
            <v>8.2500000000000004E-7</v>
          </cell>
          <cell r="B1692">
            <v>-3.4518843866000001E-2</v>
          </cell>
        </row>
        <row r="1693">
          <cell r="A1693">
            <v>8.2999999999999999E-7</v>
          </cell>
          <cell r="B1693">
            <v>-3.4518843866000001E-2</v>
          </cell>
        </row>
        <row r="1694">
          <cell r="A1694">
            <v>8.3500000000000005E-7</v>
          </cell>
          <cell r="B1694">
            <v>-3.3714823774000001E-2</v>
          </cell>
        </row>
        <row r="1695">
          <cell r="A1695">
            <v>8.4E-7</v>
          </cell>
          <cell r="B1695">
            <v>-3.210678359E-2</v>
          </cell>
        </row>
        <row r="1696">
          <cell r="A1696">
            <v>8.4499999999999996E-7</v>
          </cell>
          <cell r="B1696">
            <v>-3.1302763498E-2</v>
          </cell>
        </row>
        <row r="1697">
          <cell r="A1697">
            <v>8.5000000000000001E-7</v>
          </cell>
          <cell r="B1697">
            <v>-3.1302763498999998E-2</v>
          </cell>
        </row>
        <row r="1698">
          <cell r="A1698">
            <v>8.5499999999999997E-7</v>
          </cell>
          <cell r="B1698">
            <v>-2.8890703223000001E-2</v>
          </cell>
        </row>
        <row r="1699">
          <cell r="A1699">
            <v>8.6000000000000002E-7</v>
          </cell>
          <cell r="B1699">
            <v>-3.2910803682000001E-2</v>
          </cell>
        </row>
        <row r="1700">
          <cell r="A1700">
            <v>8.6499999999999998E-7</v>
          </cell>
          <cell r="B1700">
            <v>-3.210678359E-2</v>
          </cell>
        </row>
        <row r="1701">
          <cell r="A1701">
            <v>8.7000000000000003E-7</v>
          </cell>
          <cell r="B1701">
            <v>-3.0498743407000001E-2</v>
          </cell>
        </row>
        <row r="1702">
          <cell r="A1702">
            <v>8.7499999999999999E-7</v>
          </cell>
          <cell r="B1702">
            <v>-3.1302763498999998E-2</v>
          </cell>
        </row>
        <row r="1703">
          <cell r="A1703">
            <v>8.8000000000000004E-7</v>
          </cell>
          <cell r="B1703">
            <v>-2.9694723315000001E-2</v>
          </cell>
        </row>
        <row r="1704">
          <cell r="A1704">
            <v>8.85E-7</v>
          </cell>
          <cell r="B1704">
            <v>-3.2910803682000001E-2</v>
          </cell>
        </row>
        <row r="1705">
          <cell r="A1705">
            <v>8.8999999999999995E-7</v>
          </cell>
          <cell r="B1705">
            <v>-3.2910803682000001E-2</v>
          </cell>
        </row>
        <row r="1706">
          <cell r="A1706">
            <v>8.9500000000000001E-7</v>
          </cell>
          <cell r="B1706">
            <v>-3.6126884050000002E-2</v>
          </cell>
        </row>
        <row r="1707">
          <cell r="A1707">
            <v>8.9999999999999996E-7</v>
          </cell>
          <cell r="B1707">
            <v>-3.2910803682000001E-2</v>
          </cell>
        </row>
        <row r="1708">
          <cell r="A1708">
            <v>9.0500000000000002E-7</v>
          </cell>
          <cell r="B1708">
            <v>-3.4518843866000001E-2</v>
          </cell>
        </row>
        <row r="1709">
          <cell r="A1709">
            <v>9.0999999999999997E-7</v>
          </cell>
          <cell r="B1709">
            <v>-3.210678359E-2</v>
          </cell>
        </row>
        <row r="1710">
          <cell r="A1710">
            <v>9.1500000000000003E-7</v>
          </cell>
          <cell r="B1710">
            <v>-3.3714823774000001E-2</v>
          </cell>
        </row>
        <row r="1711">
          <cell r="A1711">
            <v>9.1999999999999998E-7</v>
          </cell>
          <cell r="B1711">
            <v>-3.1302763498999998E-2</v>
          </cell>
        </row>
        <row r="1712">
          <cell r="A1712">
            <v>9.2500000000000004E-7</v>
          </cell>
          <cell r="B1712">
            <v>-3.1302763498E-2</v>
          </cell>
        </row>
        <row r="1713">
          <cell r="A1713">
            <v>9.2999999999999999E-7</v>
          </cell>
          <cell r="B1713">
            <v>-3.6930904140999997E-2</v>
          </cell>
        </row>
        <row r="1714">
          <cell r="A1714">
            <v>9.3500000000000005E-7</v>
          </cell>
          <cell r="B1714">
            <v>-3.2910803682000001E-2</v>
          </cell>
        </row>
        <row r="1715">
          <cell r="A1715">
            <v>9.4E-7</v>
          </cell>
          <cell r="B1715">
            <v>-3.4518843866000001E-2</v>
          </cell>
        </row>
        <row r="1716">
          <cell r="A1716">
            <v>9.4499999999999995E-7</v>
          </cell>
          <cell r="B1716">
            <v>-3.2910803682000001E-2</v>
          </cell>
        </row>
        <row r="1717">
          <cell r="A1717">
            <v>9.5000000000000001E-7</v>
          </cell>
          <cell r="B1717">
            <v>-3.4518843866000001E-2</v>
          </cell>
        </row>
        <row r="1718">
          <cell r="A1718">
            <v>9.5499999999999996E-7</v>
          </cell>
          <cell r="B1718">
            <v>-3.5322863958000002E-2</v>
          </cell>
        </row>
        <row r="1719">
          <cell r="A1719">
            <v>9.5999999999999991E-7</v>
          </cell>
          <cell r="B1719">
            <v>-3.6126884050000002E-2</v>
          </cell>
        </row>
        <row r="1720">
          <cell r="A1720">
            <v>9.6500000000000008E-7</v>
          </cell>
          <cell r="B1720">
            <v>-3.6930904142000003E-2</v>
          </cell>
        </row>
        <row r="1721">
          <cell r="A1721">
            <v>9.7000000000000003E-7</v>
          </cell>
          <cell r="B1721">
            <v>-3.3714823774000001E-2</v>
          </cell>
        </row>
        <row r="1722">
          <cell r="A1722">
            <v>9.7499999999999998E-7</v>
          </cell>
          <cell r="B1722">
            <v>-3.6930904140999997E-2</v>
          </cell>
        </row>
        <row r="1723">
          <cell r="A1723">
            <v>9.7999999999999993E-7</v>
          </cell>
          <cell r="B1723">
            <v>-3.6126884050000002E-2</v>
          </cell>
        </row>
        <row r="1724">
          <cell r="A1724">
            <v>9.850000000000001E-7</v>
          </cell>
          <cell r="B1724">
            <v>-3.4518843866000001E-2</v>
          </cell>
        </row>
        <row r="1725">
          <cell r="A1725">
            <v>9.9000000000000005E-7</v>
          </cell>
          <cell r="B1725">
            <v>-3.4518843866000001E-2</v>
          </cell>
        </row>
        <row r="1726">
          <cell r="A1726">
            <v>9.95E-7</v>
          </cell>
          <cell r="B1726">
            <v>-3.1302763498999998E-2</v>
          </cell>
        </row>
        <row r="1727">
          <cell r="A1727">
            <v>9.9999999999999995E-7</v>
          </cell>
          <cell r="B1727">
            <v>-3.4518843866000001E-2</v>
          </cell>
        </row>
        <row r="1728">
          <cell r="A1728">
            <v>1.0049999999999999E-6</v>
          </cell>
          <cell r="B1728">
            <v>-3.3714823774000001E-2</v>
          </cell>
        </row>
        <row r="1729">
          <cell r="A1729">
            <v>1.0100000000000001E-6</v>
          </cell>
          <cell r="B1729">
            <v>-3.3714823774000001E-2</v>
          </cell>
        </row>
        <row r="1730">
          <cell r="A1730">
            <v>1.015E-6</v>
          </cell>
          <cell r="B1730">
            <v>-3.4518843866000001E-2</v>
          </cell>
        </row>
        <row r="1731">
          <cell r="A1731">
            <v>1.02E-6</v>
          </cell>
          <cell r="B1731">
            <v>-3.3714823774000001E-2</v>
          </cell>
        </row>
        <row r="1732">
          <cell r="A1732">
            <v>1.0249999999999999E-6</v>
          </cell>
          <cell r="B1732">
            <v>-3.4518843866000001E-2</v>
          </cell>
        </row>
        <row r="1733">
          <cell r="A1733">
            <v>1.0300000000000001E-6</v>
          </cell>
          <cell r="B1733">
            <v>-3.6126884050000002E-2</v>
          </cell>
        </row>
        <row r="1734">
          <cell r="A1734">
            <v>1.035E-6</v>
          </cell>
          <cell r="B1734">
            <v>-3.5322863958000002E-2</v>
          </cell>
        </row>
        <row r="1735">
          <cell r="A1735">
            <v>1.04E-6</v>
          </cell>
          <cell r="B1735">
            <v>-3.1302763498E-2</v>
          </cell>
        </row>
        <row r="1736">
          <cell r="A1736">
            <v>1.0449999999999999E-6</v>
          </cell>
          <cell r="B1736">
            <v>-3.210678359E-2</v>
          </cell>
        </row>
        <row r="1737">
          <cell r="A1737">
            <v>1.0499999999999999E-6</v>
          </cell>
          <cell r="B1737">
            <v>-3.6126884050000002E-2</v>
          </cell>
        </row>
        <row r="1738">
          <cell r="A1738">
            <v>1.0550000000000001E-6</v>
          </cell>
          <cell r="B1738">
            <v>-3.4518843866000001E-2</v>
          </cell>
        </row>
        <row r="1739">
          <cell r="A1739">
            <v>1.06E-6</v>
          </cell>
          <cell r="B1739">
            <v>-3.210678359E-2</v>
          </cell>
        </row>
        <row r="1740">
          <cell r="A1740">
            <v>1.065E-6</v>
          </cell>
          <cell r="B1740">
            <v>-3.4518843866000001E-2</v>
          </cell>
        </row>
        <row r="1741">
          <cell r="A1741">
            <v>1.0699999999999999E-6</v>
          </cell>
          <cell r="B1741">
            <v>-3.2910803682000001E-2</v>
          </cell>
        </row>
        <row r="1742">
          <cell r="A1742">
            <v>1.0750000000000001E-6</v>
          </cell>
          <cell r="B1742">
            <v>-3.3714823774000001E-2</v>
          </cell>
        </row>
        <row r="1743">
          <cell r="A1743">
            <v>1.08E-6</v>
          </cell>
          <cell r="B1743">
            <v>-3.0498743407000001E-2</v>
          </cell>
        </row>
        <row r="1744">
          <cell r="A1744">
            <v>1.085E-6</v>
          </cell>
          <cell r="B1744">
            <v>-3.3714823774000001E-2</v>
          </cell>
        </row>
        <row r="1745">
          <cell r="A1745">
            <v>1.0899999999999999E-6</v>
          </cell>
          <cell r="B1745">
            <v>-3.2910803682000001E-2</v>
          </cell>
        </row>
        <row r="1746">
          <cell r="A1746">
            <v>1.0950000000000001E-6</v>
          </cell>
          <cell r="B1746">
            <v>-3.4518843866000001E-2</v>
          </cell>
        </row>
        <row r="1747">
          <cell r="A1747">
            <v>1.1000000000000001E-6</v>
          </cell>
          <cell r="B1747">
            <v>-3.0498743407000001E-2</v>
          </cell>
        </row>
        <row r="1748">
          <cell r="A1748">
            <v>1.105E-6</v>
          </cell>
          <cell r="B1748">
            <v>-3.4518843866000001E-2</v>
          </cell>
        </row>
        <row r="1749">
          <cell r="A1749">
            <v>1.11E-6</v>
          </cell>
          <cell r="B1749">
            <v>-3.4518843866000001E-2</v>
          </cell>
        </row>
        <row r="1750">
          <cell r="A1750">
            <v>1.1149999999999999E-6</v>
          </cell>
          <cell r="B1750">
            <v>-3.3714823774000001E-2</v>
          </cell>
        </row>
        <row r="1751">
          <cell r="A1751">
            <v>1.1200000000000001E-6</v>
          </cell>
          <cell r="B1751">
            <v>-3.6126884050000002E-2</v>
          </cell>
        </row>
        <row r="1752">
          <cell r="A1752">
            <v>1.125E-6</v>
          </cell>
          <cell r="B1752">
            <v>-3.6930904142000003E-2</v>
          </cell>
        </row>
        <row r="1753">
          <cell r="A1753">
            <v>1.13E-6</v>
          </cell>
          <cell r="B1753">
            <v>-3.4518843866000001E-2</v>
          </cell>
        </row>
        <row r="1754">
          <cell r="A1754">
            <v>1.1349999999999999E-6</v>
          </cell>
          <cell r="B1754">
            <v>-3.6930904142000003E-2</v>
          </cell>
        </row>
        <row r="1755">
          <cell r="A1755">
            <v>1.1400000000000001E-6</v>
          </cell>
          <cell r="B1755">
            <v>-3.7734924234000003E-2</v>
          </cell>
        </row>
        <row r="1756">
          <cell r="A1756">
            <v>1.145E-6</v>
          </cell>
          <cell r="B1756">
            <v>-3.6126884050000002E-2</v>
          </cell>
        </row>
        <row r="1757">
          <cell r="A1757">
            <v>1.15E-6</v>
          </cell>
          <cell r="B1757">
            <v>-3.5322863958000002E-2</v>
          </cell>
        </row>
        <row r="1758">
          <cell r="A1758">
            <v>1.155E-6</v>
          </cell>
          <cell r="B1758">
            <v>-3.2910803682000001E-2</v>
          </cell>
        </row>
        <row r="1759">
          <cell r="A1759">
            <v>1.1599999999999999E-6</v>
          </cell>
          <cell r="B1759">
            <v>-3.6126884050000002E-2</v>
          </cell>
        </row>
        <row r="1760">
          <cell r="A1760">
            <v>1.1650000000000001E-6</v>
          </cell>
          <cell r="B1760">
            <v>-3.6126884050000002E-2</v>
          </cell>
        </row>
        <row r="1761">
          <cell r="A1761">
            <v>1.17E-6</v>
          </cell>
          <cell r="B1761">
            <v>-3.2910803682999999E-2</v>
          </cell>
        </row>
        <row r="1762">
          <cell r="A1762">
            <v>1.175E-6</v>
          </cell>
          <cell r="B1762">
            <v>-3.6930904142000003E-2</v>
          </cell>
        </row>
        <row r="1763">
          <cell r="A1763">
            <v>1.1799999999999999E-6</v>
          </cell>
          <cell r="B1763">
            <v>-3.5322863958000002E-2</v>
          </cell>
        </row>
        <row r="1764">
          <cell r="A1764">
            <v>1.1850000000000001E-6</v>
          </cell>
          <cell r="B1764">
            <v>-3.8538944326000003E-2</v>
          </cell>
        </row>
        <row r="1765">
          <cell r="A1765">
            <v>1.19E-6</v>
          </cell>
          <cell r="B1765">
            <v>-3.6126884050000002E-2</v>
          </cell>
        </row>
        <row r="1766">
          <cell r="A1766">
            <v>1.195E-6</v>
          </cell>
          <cell r="B1766">
            <v>-3.4518843866000001E-2</v>
          </cell>
        </row>
        <row r="1767">
          <cell r="A1767">
            <v>1.1999999999999999E-6</v>
          </cell>
          <cell r="B1767">
            <v>-3.7734924232999997E-2</v>
          </cell>
        </row>
        <row r="1768">
          <cell r="A1768">
            <v>1.2049999999999999E-6</v>
          </cell>
          <cell r="B1768">
            <v>-3.2910803682000001E-2</v>
          </cell>
        </row>
        <row r="1769">
          <cell r="A1769">
            <v>1.2100000000000001E-6</v>
          </cell>
          <cell r="B1769">
            <v>-3.4518843866000001E-2</v>
          </cell>
        </row>
        <row r="1770">
          <cell r="A1770">
            <v>1.215E-6</v>
          </cell>
          <cell r="B1770">
            <v>-3.6930904142000003E-2</v>
          </cell>
        </row>
        <row r="1771">
          <cell r="A1771">
            <v>1.22E-6</v>
          </cell>
          <cell r="B1771">
            <v>-3.1302763498E-2</v>
          </cell>
        </row>
        <row r="1772">
          <cell r="A1772">
            <v>1.2249999999999999E-6</v>
          </cell>
          <cell r="B1772">
            <v>-3.7734924232999997E-2</v>
          </cell>
        </row>
        <row r="1773">
          <cell r="A1773">
            <v>1.2300000000000001E-6</v>
          </cell>
          <cell r="B1773">
            <v>-3.6930904140999997E-2</v>
          </cell>
        </row>
        <row r="1774">
          <cell r="A1774">
            <v>1.235E-6</v>
          </cell>
          <cell r="B1774">
            <v>-3.1302763498999998E-2</v>
          </cell>
        </row>
        <row r="1775">
          <cell r="A1775">
            <v>1.24E-6</v>
          </cell>
          <cell r="B1775">
            <v>-3.6126884050000002E-2</v>
          </cell>
        </row>
        <row r="1776">
          <cell r="A1776">
            <v>1.2449999999999999E-6</v>
          </cell>
          <cell r="B1776">
            <v>-3.2910803682999999E-2</v>
          </cell>
        </row>
        <row r="1777">
          <cell r="A1777">
            <v>1.2500000000000001E-6</v>
          </cell>
          <cell r="B1777">
            <v>-3.6126884050000002E-2</v>
          </cell>
        </row>
        <row r="1778">
          <cell r="A1778">
            <v>1.2550000000000001E-6</v>
          </cell>
          <cell r="B1778">
            <v>-3.5322863958000002E-2</v>
          </cell>
        </row>
        <row r="1779">
          <cell r="A1779">
            <v>1.26E-6</v>
          </cell>
          <cell r="B1779">
            <v>-3.5322863958000002E-2</v>
          </cell>
        </row>
        <row r="1780">
          <cell r="A1780">
            <v>1.265E-6</v>
          </cell>
          <cell r="B1780">
            <v>-3.2910803682000001E-2</v>
          </cell>
        </row>
        <row r="1781">
          <cell r="A1781">
            <v>1.2699999999999999E-6</v>
          </cell>
          <cell r="B1781">
            <v>-4.0146984508999999E-2</v>
          </cell>
        </row>
        <row r="1782">
          <cell r="A1782">
            <v>1.2750000000000001E-6</v>
          </cell>
          <cell r="B1782">
            <v>-3.4518843866000001E-2</v>
          </cell>
        </row>
        <row r="1783">
          <cell r="A1783">
            <v>1.28E-6</v>
          </cell>
          <cell r="B1783">
            <v>-3.5322863958000002E-2</v>
          </cell>
        </row>
        <row r="1784">
          <cell r="A1784">
            <v>1.285E-6</v>
          </cell>
          <cell r="B1784">
            <v>-3.6930904142000003E-2</v>
          </cell>
        </row>
        <row r="1785">
          <cell r="A1785">
            <v>1.2899999999999999E-6</v>
          </cell>
          <cell r="B1785">
            <v>-3.4518843866000001E-2</v>
          </cell>
        </row>
        <row r="1786">
          <cell r="A1786">
            <v>1.2950000000000001E-6</v>
          </cell>
          <cell r="B1786">
            <v>-3.5322863958000002E-2</v>
          </cell>
        </row>
        <row r="1787">
          <cell r="A1787">
            <v>1.3E-6</v>
          </cell>
          <cell r="B1787">
            <v>-3.6126884050000002E-2</v>
          </cell>
        </row>
        <row r="1788">
          <cell r="A1788">
            <v>1.305E-6</v>
          </cell>
          <cell r="B1788">
            <v>-3.7734924232999997E-2</v>
          </cell>
        </row>
        <row r="1789">
          <cell r="A1789">
            <v>1.31E-6</v>
          </cell>
          <cell r="B1789">
            <v>-3.6930904142000003E-2</v>
          </cell>
        </row>
        <row r="1790">
          <cell r="A1790">
            <v>1.3149999999999999E-6</v>
          </cell>
          <cell r="B1790">
            <v>-3.6930904142000003E-2</v>
          </cell>
        </row>
        <row r="1791">
          <cell r="A1791">
            <v>1.3200000000000001E-6</v>
          </cell>
          <cell r="B1791">
            <v>-3.3714823774000001E-2</v>
          </cell>
        </row>
        <row r="1792">
          <cell r="A1792">
            <v>1.325E-6</v>
          </cell>
          <cell r="B1792">
            <v>-3.6126884050000002E-2</v>
          </cell>
        </row>
        <row r="1793">
          <cell r="A1793">
            <v>1.33E-6</v>
          </cell>
          <cell r="B1793">
            <v>-3.7734924234000003E-2</v>
          </cell>
        </row>
        <row r="1794">
          <cell r="A1794">
            <v>1.3349999999999999E-6</v>
          </cell>
          <cell r="B1794">
            <v>-3.4518843866000001E-2</v>
          </cell>
        </row>
        <row r="1795">
          <cell r="A1795">
            <v>1.3400000000000001E-6</v>
          </cell>
          <cell r="B1795">
            <v>-3.5322863958000002E-2</v>
          </cell>
        </row>
        <row r="1796">
          <cell r="A1796">
            <v>1.345E-6</v>
          </cell>
          <cell r="B1796">
            <v>-3.2106783590999999E-2</v>
          </cell>
        </row>
        <row r="1797">
          <cell r="A1797">
            <v>1.35E-6</v>
          </cell>
          <cell r="B1797">
            <v>-3.9342964416999998E-2</v>
          </cell>
        </row>
        <row r="1798">
          <cell r="A1798">
            <v>1.3549999999999999E-6</v>
          </cell>
          <cell r="B1798">
            <v>-3.5322863958000002E-2</v>
          </cell>
        </row>
        <row r="1799">
          <cell r="A1799">
            <v>1.3599999999999999E-6</v>
          </cell>
          <cell r="B1799">
            <v>-3.7734924232999997E-2</v>
          </cell>
        </row>
        <row r="1800">
          <cell r="A1800">
            <v>1.3650000000000001E-6</v>
          </cell>
          <cell r="B1800">
            <v>-3.5322863958000002E-2</v>
          </cell>
        </row>
        <row r="1801">
          <cell r="A1801">
            <v>1.37E-6</v>
          </cell>
          <cell r="B1801">
            <v>-3.6126884049000003E-2</v>
          </cell>
        </row>
        <row r="1802">
          <cell r="A1802">
            <v>1.375E-6</v>
          </cell>
          <cell r="B1802">
            <v>-3.6126884050000002E-2</v>
          </cell>
        </row>
        <row r="1803">
          <cell r="A1803">
            <v>1.3799999999999999E-6</v>
          </cell>
          <cell r="B1803">
            <v>-3.5322863958000002E-2</v>
          </cell>
        </row>
        <row r="1804">
          <cell r="A1804">
            <v>1.3850000000000001E-6</v>
          </cell>
          <cell r="B1804">
            <v>-3.4518843866000001E-2</v>
          </cell>
        </row>
        <row r="1805">
          <cell r="A1805">
            <v>1.39E-6</v>
          </cell>
          <cell r="B1805">
            <v>-3.5322863958000002E-2</v>
          </cell>
        </row>
        <row r="1806">
          <cell r="A1806">
            <v>1.395E-6</v>
          </cell>
          <cell r="B1806">
            <v>-3.6930904142000003E-2</v>
          </cell>
        </row>
        <row r="1807">
          <cell r="A1807">
            <v>1.3999999999999999E-6</v>
          </cell>
          <cell r="B1807">
            <v>-3.3714823774000001E-2</v>
          </cell>
        </row>
        <row r="1808">
          <cell r="A1808">
            <v>1.4050000000000001E-6</v>
          </cell>
          <cell r="B1808">
            <v>-3.6930904142000003E-2</v>
          </cell>
        </row>
        <row r="1809">
          <cell r="A1809">
            <v>1.4100000000000001E-6</v>
          </cell>
          <cell r="B1809">
            <v>-3.6126884050000002E-2</v>
          </cell>
        </row>
        <row r="1810">
          <cell r="A1810">
            <v>1.415E-6</v>
          </cell>
          <cell r="B1810">
            <v>-3.5322863958000002E-2</v>
          </cell>
        </row>
        <row r="1811">
          <cell r="A1811">
            <v>1.42E-6</v>
          </cell>
          <cell r="B1811">
            <v>-3.8538944324999998E-2</v>
          </cell>
        </row>
        <row r="1812">
          <cell r="A1812">
            <v>1.4249999999999999E-6</v>
          </cell>
          <cell r="B1812">
            <v>-3.3714823774000001E-2</v>
          </cell>
        </row>
        <row r="1813">
          <cell r="A1813">
            <v>1.4300000000000001E-6</v>
          </cell>
          <cell r="B1813">
            <v>-3.5322863958000002E-2</v>
          </cell>
        </row>
        <row r="1814">
          <cell r="A1814">
            <v>1.435E-6</v>
          </cell>
          <cell r="B1814">
            <v>-3.4518843866000001E-2</v>
          </cell>
        </row>
        <row r="1815">
          <cell r="A1815">
            <v>1.44E-6</v>
          </cell>
          <cell r="B1815">
            <v>-3.5322863957000003E-2</v>
          </cell>
        </row>
        <row r="1816">
          <cell r="A1816">
            <v>1.4449999999999999E-6</v>
          </cell>
          <cell r="B1816">
            <v>-3.5322863958000002E-2</v>
          </cell>
        </row>
        <row r="1817">
          <cell r="A1817">
            <v>1.4500000000000001E-6</v>
          </cell>
          <cell r="B1817">
            <v>-3.3714823774000001E-2</v>
          </cell>
        </row>
        <row r="1818">
          <cell r="A1818">
            <v>1.455E-6</v>
          </cell>
          <cell r="B1818">
            <v>-3.6126884050000002E-2</v>
          </cell>
        </row>
        <row r="1819">
          <cell r="A1819">
            <v>1.46E-6</v>
          </cell>
          <cell r="B1819">
            <v>-3.8538944324999998E-2</v>
          </cell>
        </row>
        <row r="1820">
          <cell r="A1820">
            <v>1.4649999999999999E-6</v>
          </cell>
          <cell r="B1820">
            <v>-3.3714823774000001E-2</v>
          </cell>
        </row>
        <row r="1821">
          <cell r="A1821">
            <v>1.4699999999999999E-6</v>
          </cell>
          <cell r="B1821">
            <v>-3.4518843866000001E-2</v>
          </cell>
        </row>
        <row r="1822">
          <cell r="A1822">
            <v>1.4750000000000001E-6</v>
          </cell>
          <cell r="B1822">
            <v>-3.7734924234000003E-2</v>
          </cell>
        </row>
        <row r="1823">
          <cell r="A1823">
            <v>1.48E-6</v>
          </cell>
          <cell r="B1823">
            <v>-3.210678359E-2</v>
          </cell>
        </row>
        <row r="1824">
          <cell r="A1824">
            <v>1.485E-6</v>
          </cell>
          <cell r="B1824">
            <v>-4.0146984508999999E-2</v>
          </cell>
        </row>
        <row r="1825">
          <cell r="A1825">
            <v>1.4899999999999999E-6</v>
          </cell>
          <cell r="B1825">
            <v>-3.3714823774000001E-2</v>
          </cell>
        </row>
        <row r="1826">
          <cell r="A1826">
            <v>1.4950000000000001E-6</v>
          </cell>
          <cell r="B1826">
            <v>-3.7734924234000003E-2</v>
          </cell>
        </row>
        <row r="1827">
          <cell r="A1827">
            <v>1.5E-6</v>
          </cell>
          <cell r="B1827">
            <v>-3.6930904142000003E-2</v>
          </cell>
        </row>
        <row r="1828">
          <cell r="A1828">
            <v>1.505E-6</v>
          </cell>
          <cell r="B1828">
            <v>-3.2910803682000001E-2</v>
          </cell>
        </row>
        <row r="1829">
          <cell r="A1829">
            <v>1.5099999999999999E-6</v>
          </cell>
          <cell r="B1829">
            <v>-3.9342964416999998E-2</v>
          </cell>
        </row>
        <row r="1830">
          <cell r="A1830">
            <v>1.5149999999999999E-6</v>
          </cell>
          <cell r="B1830">
            <v>-3.5322863958000002E-2</v>
          </cell>
        </row>
        <row r="1831">
          <cell r="A1831">
            <v>1.5200000000000001E-6</v>
          </cell>
          <cell r="B1831">
            <v>-3.6930904140999997E-2</v>
          </cell>
        </row>
        <row r="1832">
          <cell r="A1832">
            <v>1.525E-6</v>
          </cell>
          <cell r="B1832">
            <v>-3.7734924234000003E-2</v>
          </cell>
        </row>
        <row r="1833">
          <cell r="A1833">
            <v>1.53E-6</v>
          </cell>
          <cell r="B1833">
            <v>-3.4518843866000001E-2</v>
          </cell>
        </row>
        <row r="1834">
          <cell r="A1834">
            <v>1.5349999999999999E-6</v>
          </cell>
          <cell r="B1834">
            <v>-3.4518843866000001E-2</v>
          </cell>
        </row>
        <row r="1835">
          <cell r="A1835">
            <v>1.5400000000000001E-6</v>
          </cell>
          <cell r="B1835">
            <v>-3.7734924234000003E-2</v>
          </cell>
        </row>
        <row r="1836">
          <cell r="A1836">
            <v>1.545E-6</v>
          </cell>
          <cell r="B1836">
            <v>-3.7734924234000003E-2</v>
          </cell>
        </row>
        <row r="1837">
          <cell r="A1837">
            <v>1.55E-6</v>
          </cell>
          <cell r="B1837">
            <v>-3.6126884050000002E-2</v>
          </cell>
        </row>
        <row r="1838">
          <cell r="A1838">
            <v>1.5549999999999999E-6</v>
          </cell>
          <cell r="B1838">
            <v>-3.5322863958000002E-2</v>
          </cell>
        </row>
        <row r="1839">
          <cell r="A1839">
            <v>1.5600000000000001E-6</v>
          </cell>
          <cell r="B1839">
            <v>-3.2106783590999999E-2</v>
          </cell>
        </row>
        <row r="1840">
          <cell r="A1840">
            <v>1.5650000000000001E-6</v>
          </cell>
          <cell r="B1840">
            <v>-3.7734924232999997E-2</v>
          </cell>
        </row>
        <row r="1841">
          <cell r="A1841">
            <v>1.57E-6</v>
          </cell>
          <cell r="B1841">
            <v>-3.210678359E-2</v>
          </cell>
        </row>
        <row r="1842">
          <cell r="A1842">
            <v>1.575E-6</v>
          </cell>
          <cell r="B1842">
            <v>-3.2910803682000001E-2</v>
          </cell>
        </row>
        <row r="1843">
          <cell r="A1843">
            <v>1.5799999999999999E-6</v>
          </cell>
          <cell r="B1843">
            <v>-3.3714823774000001E-2</v>
          </cell>
        </row>
        <row r="1844">
          <cell r="A1844">
            <v>1.5850000000000001E-6</v>
          </cell>
          <cell r="B1844">
            <v>-3.2910803682000001E-2</v>
          </cell>
        </row>
        <row r="1845">
          <cell r="A1845">
            <v>1.59E-6</v>
          </cell>
          <cell r="B1845">
            <v>-3.210678359E-2</v>
          </cell>
        </row>
        <row r="1846">
          <cell r="A1846">
            <v>1.595E-6</v>
          </cell>
          <cell r="B1846">
            <v>-3.2910803682000001E-2</v>
          </cell>
        </row>
        <row r="1847">
          <cell r="A1847">
            <v>1.5999999999999999E-6</v>
          </cell>
          <cell r="B1847">
            <v>-3.4518843866000001E-2</v>
          </cell>
        </row>
        <row r="1848">
          <cell r="A1848">
            <v>1.6050000000000001E-6</v>
          </cell>
          <cell r="B1848">
            <v>-3.2106783590999999E-2</v>
          </cell>
        </row>
        <row r="1849">
          <cell r="A1849">
            <v>1.61E-6</v>
          </cell>
          <cell r="B1849">
            <v>-3.210678359E-2</v>
          </cell>
        </row>
        <row r="1850">
          <cell r="A1850">
            <v>1.615E-6</v>
          </cell>
          <cell r="B1850">
            <v>-3.5322863958000002E-2</v>
          </cell>
        </row>
        <row r="1851">
          <cell r="A1851">
            <v>1.6199999999999999E-6</v>
          </cell>
          <cell r="B1851">
            <v>-3.5322863958000002E-2</v>
          </cell>
        </row>
        <row r="1852">
          <cell r="A1852">
            <v>1.6249999999999999E-6</v>
          </cell>
          <cell r="B1852">
            <v>-3.4518843866000001E-2</v>
          </cell>
        </row>
        <row r="1853">
          <cell r="A1853">
            <v>1.6300000000000001E-6</v>
          </cell>
          <cell r="B1853">
            <v>-3.5322863958000002E-2</v>
          </cell>
        </row>
        <row r="1854">
          <cell r="A1854">
            <v>1.635E-6</v>
          </cell>
          <cell r="B1854">
            <v>-3.3714823774000001E-2</v>
          </cell>
        </row>
        <row r="1855">
          <cell r="A1855">
            <v>1.64E-6</v>
          </cell>
          <cell r="B1855">
            <v>-3.4518843866000001E-2</v>
          </cell>
        </row>
        <row r="1856">
          <cell r="A1856">
            <v>1.6449999999999999E-6</v>
          </cell>
          <cell r="B1856">
            <v>-3.5322863958000002E-2</v>
          </cell>
        </row>
        <row r="1857">
          <cell r="A1857">
            <v>1.6500000000000001E-6</v>
          </cell>
          <cell r="B1857">
            <v>-3.7734924232999997E-2</v>
          </cell>
        </row>
        <row r="1858">
          <cell r="A1858">
            <v>1.655E-6</v>
          </cell>
          <cell r="B1858">
            <v>-3.5322863958000002E-2</v>
          </cell>
        </row>
        <row r="1859">
          <cell r="A1859">
            <v>1.66E-6</v>
          </cell>
          <cell r="B1859">
            <v>-3.6126884050000002E-2</v>
          </cell>
        </row>
        <row r="1860">
          <cell r="A1860">
            <v>1.6649999999999999E-6</v>
          </cell>
          <cell r="B1860">
            <v>-3.3714823774000001E-2</v>
          </cell>
        </row>
        <row r="1861">
          <cell r="A1861">
            <v>1.6700000000000001E-6</v>
          </cell>
          <cell r="B1861">
            <v>-3.5322863958000002E-2</v>
          </cell>
        </row>
        <row r="1862">
          <cell r="A1862">
            <v>1.6750000000000001E-6</v>
          </cell>
          <cell r="B1862">
            <v>-3.2910803682000001E-2</v>
          </cell>
        </row>
        <row r="1863">
          <cell r="A1863">
            <v>1.68E-6</v>
          </cell>
          <cell r="B1863">
            <v>-3.4518843866000001E-2</v>
          </cell>
        </row>
        <row r="1864">
          <cell r="A1864">
            <v>1.685E-6</v>
          </cell>
          <cell r="B1864">
            <v>-3.2910803682000001E-2</v>
          </cell>
        </row>
        <row r="1865">
          <cell r="A1865">
            <v>1.6899999999999999E-6</v>
          </cell>
          <cell r="B1865">
            <v>-3.4518843866000001E-2</v>
          </cell>
        </row>
        <row r="1866">
          <cell r="A1866">
            <v>1.6950000000000001E-6</v>
          </cell>
          <cell r="B1866">
            <v>-3.6126884050000002E-2</v>
          </cell>
        </row>
        <row r="1867">
          <cell r="A1867">
            <v>1.7E-6</v>
          </cell>
          <cell r="B1867">
            <v>-3.6126884050000002E-2</v>
          </cell>
        </row>
        <row r="1868">
          <cell r="A1868">
            <v>1.705E-6</v>
          </cell>
          <cell r="B1868">
            <v>-3.4518843866000001E-2</v>
          </cell>
        </row>
        <row r="1869">
          <cell r="A1869">
            <v>1.7099999999999999E-6</v>
          </cell>
          <cell r="B1869">
            <v>-3.4518843866000001E-2</v>
          </cell>
        </row>
        <row r="1870">
          <cell r="A1870">
            <v>1.7150000000000001E-6</v>
          </cell>
          <cell r="B1870">
            <v>-3.5322863958000002E-2</v>
          </cell>
        </row>
        <row r="1871">
          <cell r="A1871">
            <v>1.72E-6</v>
          </cell>
          <cell r="B1871">
            <v>-3.6930904142000003E-2</v>
          </cell>
        </row>
        <row r="1872">
          <cell r="A1872">
            <v>1.725E-6</v>
          </cell>
          <cell r="B1872">
            <v>-3.7734924234000003E-2</v>
          </cell>
        </row>
        <row r="1873">
          <cell r="A1873">
            <v>1.73E-6</v>
          </cell>
          <cell r="B1873">
            <v>-3.6930904140999997E-2</v>
          </cell>
        </row>
        <row r="1874">
          <cell r="A1874">
            <v>1.7349999999999999E-6</v>
          </cell>
          <cell r="B1874">
            <v>-3.7734924232999997E-2</v>
          </cell>
        </row>
        <row r="1875">
          <cell r="A1875">
            <v>1.7400000000000001E-6</v>
          </cell>
          <cell r="B1875">
            <v>-3.3714823774000001E-2</v>
          </cell>
        </row>
        <row r="1876">
          <cell r="A1876">
            <v>1.745E-6</v>
          </cell>
          <cell r="B1876">
            <v>-3.6930904142000003E-2</v>
          </cell>
        </row>
        <row r="1877">
          <cell r="A1877">
            <v>1.75E-6</v>
          </cell>
          <cell r="B1877">
            <v>-3.6930904142000003E-2</v>
          </cell>
        </row>
        <row r="1878">
          <cell r="A1878">
            <v>1.7549999999999999E-6</v>
          </cell>
          <cell r="B1878">
            <v>-3.4518843866000001E-2</v>
          </cell>
        </row>
        <row r="1879">
          <cell r="A1879">
            <v>1.7600000000000001E-6</v>
          </cell>
          <cell r="B1879">
            <v>-3.6126884050000002E-2</v>
          </cell>
        </row>
        <row r="1880">
          <cell r="A1880">
            <v>1.765E-6</v>
          </cell>
          <cell r="B1880">
            <v>-3.8538944324999998E-2</v>
          </cell>
        </row>
        <row r="1881">
          <cell r="A1881">
            <v>1.77E-6</v>
          </cell>
          <cell r="B1881">
            <v>-3.6126884050000002E-2</v>
          </cell>
        </row>
        <row r="1882">
          <cell r="A1882">
            <v>1.7749999999999999E-6</v>
          </cell>
          <cell r="B1882">
            <v>-3.3714823774000001E-2</v>
          </cell>
        </row>
        <row r="1883">
          <cell r="A1883">
            <v>1.7799999999999999E-6</v>
          </cell>
          <cell r="B1883">
            <v>-3.7734924234000003E-2</v>
          </cell>
        </row>
        <row r="1884">
          <cell r="A1884">
            <v>1.7850000000000001E-6</v>
          </cell>
          <cell r="B1884">
            <v>-3.5322863958000002E-2</v>
          </cell>
        </row>
        <row r="1885">
          <cell r="A1885">
            <v>1.79E-6</v>
          </cell>
          <cell r="B1885">
            <v>-3.7734924232999997E-2</v>
          </cell>
        </row>
        <row r="1886">
          <cell r="A1886">
            <v>1.795E-6</v>
          </cell>
          <cell r="B1886">
            <v>-3.6126884050000002E-2</v>
          </cell>
        </row>
        <row r="1887">
          <cell r="A1887">
            <v>1.7999999999999999E-6</v>
          </cell>
          <cell r="B1887">
            <v>-3.9342964416999998E-2</v>
          </cell>
        </row>
        <row r="1888">
          <cell r="A1888">
            <v>1.8050000000000001E-6</v>
          </cell>
          <cell r="B1888">
            <v>-3.6126884050000002E-2</v>
          </cell>
        </row>
        <row r="1889">
          <cell r="A1889">
            <v>1.81E-6</v>
          </cell>
          <cell r="B1889">
            <v>-3.9342964416999998E-2</v>
          </cell>
        </row>
        <row r="1890">
          <cell r="A1890">
            <v>1.815E-6</v>
          </cell>
          <cell r="B1890">
            <v>-3.6930904142000003E-2</v>
          </cell>
        </row>
        <row r="1891">
          <cell r="A1891">
            <v>1.8199999999999999E-6</v>
          </cell>
          <cell r="B1891">
            <v>-3.8538944324999998E-2</v>
          </cell>
        </row>
        <row r="1892">
          <cell r="A1892">
            <v>1.8250000000000001E-6</v>
          </cell>
          <cell r="B1892">
            <v>-3.8538944324999998E-2</v>
          </cell>
        </row>
        <row r="1893">
          <cell r="A1893">
            <v>1.8300000000000001E-6</v>
          </cell>
          <cell r="B1893">
            <v>-3.5322863958000002E-2</v>
          </cell>
        </row>
        <row r="1894">
          <cell r="A1894">
            <v>1.835E-6</v>
          </cell>
          <cell r="B1894">
            <v>-3.7734924234000003E-2</v>
          </cell>
        </row>
        <row r="1895">
          <cell r="A1895">
            <v>1.84E-6</v>
          </cell>
          <cell r="B1895">
            <v>-3.6126884050000002E-2</v>
          </cell>
        </row>
        <row r="1896">
          <cell r="A1896">
            <v>1.8449999999999999E-6</v>
          </cell>
          <cell r="B1896">
            <v>-3.6930904142000003E-2</v>
          </cell>
        </row>
        <row r="1897">
          <cell r="A1897">
            <v>1.8500000000000001E-6</v>
          </cell>
          <cell r="B1897">
            <v>-3.6126884050000002E-2</v>
          </cell>
        </row>
        <row r="1898">
          <cell r="A1898">
            <v>1.855E-6</v>
          </cell>
          <cell r="B1898">
            <v>-3.5322863958000002E-2</v>
          </cell>
        </row>
        <row r="1899">
          <cell r="A1899">
            <v>1.86E-6</v>
          </cell>
          <cell r="B1899">
            <v>-3.7734924232999997E-2</v>
          </cell>
        </row>
        <row r="1900">
          <cell r="A1900">
            <v>1.8649999999999999E-6</v>
          </cell>
          <cell r="B1900">
            <v>-3.7734924232999997E-2</v>
          </cell>
        </row>
        <row r="1901">
          <cell r="A1901">
            <v>1.8700000000000001E-6</v>
          </cell>
          <cell r="B1901">
            <v>-3.3714823774000001E-2</v>
          </cell>
        </row>
        <row r="1902">
          <cell r="A1902">
            <v>1.875E-6</v>
          </cell>
          <cell r="B1902">
            <v>-3.4518843866000001E-2</v>
          </cell>
        </row>
        <row r="1903">
          <cell r="A1903">
            <v>1.88E-6</v>
          </cell>
          <cell r="B1903">
            <v>-3.4518843866000001E-2</v>
          </cell>
        </row>
        <row r="1904">
          <cell r="A1904">
            <v>1.885E-6</v>
          </cell>
          <cell r="B1904">
            <v>-3.6126884050000002E-2</v>
          </cell>
        </row>
        <row r="1905">
          <cell r="A1905">
            <v>1.8899999999999999E-6</v>
          </cell>
          <cell r="B1905">
            <v>-3.5322863958000002E-2</v>
          </cell>
        </row>
        <row r="1906">
          <cell r="A1906">
            <v>1.8950000000000001E-6</v>
          </cell>
          <cell r="B1906">
            <v>-3.6930904140999997E-2</v>
          </cell>
        </row>
        <row r="1907">
          <cell r="A1907">
            <v>1.9E-6</v>
          </cell>
          <cell r="B1907">
            <v>-3.6126884050000002E-2</v>
          </cell>
        </row>
        <row r="1908">
          <cell r="A1908">
            <v>1.905E-6</v>
          </cell>
          <cell r="B1908">
            <v>-3.3714823774000001E-2</v>
          </cell>
        </row>
        <row r="1909">
          <cell r="A1909">
            <v>1.9099999999999999E-6</v>
          </cell>
          <cell r="B1909">
            <v>-3.2910803682000001E-2</v>
          </cell>
        </row>
        <row r="1910">
          <cell r="A1910">
            <v>1.9149999999999999E-6</v>
          </cell>
          <cell r="B1910">
            <v>-3.4518843866000001E-2</v>
          </cell>
        </row>
        <row r="1911">
          <cell r="A1911">
            <v>1.9199999999999998E-6</v>
          </cell>
          <cell r="B1911">
            <v>-3.4518843866000001E-2</v>
          </cell>
        </row>
        <row r="1912">
          <cell r="A1912">
            <v>1.9250000000000002E-6</v>
          </cell>
          <cell r="B1912">
            <v>-3.5322863958000002E-2</v>
          </cell>
        </row>
        <row r="1913">
          <cell r="A1913">
            <v>1.9300000000000002E-6</v>
          </cell>
          <cell r="B1913">
            <v>-3.4518843866000001E-2</v>
          </cell>
        </row>
        <row r="1914">
          <cell r="A1914">
            <v>1.9350000000000001E-6</v>
          </cell>
          <cell r="B1914">
            <v>-3.4518843866000001E-2</v>
          </cell>
        </row>
        <row r="1915">
          <cell r="A1915">
            <v>1.9400000000000001E-6</v>
          </cell>
          <cell r="B1915">
            <v>-3.6930904142000003E-2</v>
          </cell>
        </row>
        <row r="1916">
          <cell r="A1916">
            <v>1.945E-6</v>
          </cell>
          <cell r="B1916">
            <v>-3.4518843866000001E-2</v>
          </cell>
        </row>
        <row r="1917">
          <cell r="A1917">
            <v>1.95E-6</v>
          </cell>
          <cell r="B1917">
            <v>-3.6126884050000002E-2</v>
          </cell>
        </row>
        <row r="1918">
          <cell r="A1918">
            <v>1.9549999999999999E-6</v>
          </cell>
          <cell r="B1918">
            <v>-3.4518843866000001E-2</v>
          </cell>
        </row>
        <row r="1919">
          <cell r="A1919">
            <v>1.9599999999999999E-6</v>
          </cell>
          <cell r="B1919">
            <v>-3.4518843866000001E-2</v>
          </cell>
        </row>
        <row r="1920">
          <cell r="A1920">
            <v>1.9649999999999998E-6</v>
          </cell>
          <cell r="B1920">
            <v>-3.3714823774000001E-2</v>
          </cell>
        </row>
        <row r="1921">
          <cell r="A1921">
            <v>1.9700000000000002E-6</v>
          </cell>
          <cell r="B1921">
            <v>-3.5322863958000002E-2</v>
          </cell>
        </row>
        <row r="1922">
          <cell r="A1922">
            <v>1.9750000000000001E-6</v>
          </cell>
          <cell r="B1922">
            <v>-3.5322863958000002E-2</v>
          </cell>
        </row>
        <row r="1923">
          <cell r="A1923">
            <v>1.9800000000000001E-6</v>
          </cell>
          <cell r="B1923">
            <v>-3.7734924234000003E-2</v>
          </cell>
        </row>
        <row r="1924">
          <cell r="A1924">
            <v>1.9850000000000001E-6</v>
          </cell>
          <cell r="B1924">
            <v>-3.4518843866000001E-2</v>
          </cell>
        </row>
        <row r="1925">
          <cell r="A1925">
            <v>1.99E-6</v>
          </cell>
          <cell r="B1925">
            <v>-3.3714823774000001E-2</v>
          </cell>
        </row>
        <row r="1926">
          <cell r="A1926">
            <v>1.995E-6</v>
          </cell>
          <cell r="B1926">
            <v>-3.4518843866000001E-2</v>
          </cell>
        </row>
        <row r="1927">
          <cell r="A1927">
            <v>1.9999999999999999E-6</v>
          </cell>
          <cell r="B1927">
            <v>-3.7734924234000003E-2</v>
          </cell>
        </row>
        <row r="1928">
          <cell r="A1928">
            <v>2.0049999999999999E-6</v>
          </cell>
          <cell r="B1928">
            <v>-3.6126884050000002E-2</v>
          </cell>
        </row>
        <row r="1929">
          <cell r="A1929">
            <v>2.0099999999999998E-6</v>
          </cell>
          <cell r="B1929">
            <v>-3.2910803682000001E-2</v>
          </cell>
        </row>
        <row r="1930">
          <cell r="A1930">
            <v>2.0150000000000002E-6</v>
          </cell>
          <cell r="B1930">
            <v>-3.6930904142000003E-2</v>
          </cell>
        </row>
        <row r="1931">
          <cell r="A1931">
            <v>2.0200000000000001E-6</v>
          </cell>
          <cell r="B1931">
            <v>-3.6126884050000002E-2</v>
          </cell>
        </row>
        <row r="1932">
          <cell r="A1932">
            <v>2.0250000000000001E-6</v>
          </cell>
          <cell r="B1932">
            <v>-3.5322863958000002E-2</v>
          </cell>
        </row>
        <row r="1933">
          <cell r="A1933">
            <v>2.03E-6</v>
          </cell>
          <cell r="B1933">
            <v>-3.5322863958000002E-2</v>
          </cell>
        </row>
        <row r="1934">
          <cell r="A1934">
            <v>2.035E-6</v>
          </cell>
          <cell r="B1934">
            <v>-3.6126884050000002E-2</v>
          </cell>
        </row>
        <row r="1935">
          <cell r="A1935">
            <v>2.04E-6</v>
          </cell>
          <cell r="B1935">
            <v>-3.7734924234000003E-2</v>
          </cell>
        </row>
        <row r="1936">
          <cell r="A1936">
            <v>2.0449999999999999E-6</v>
          </cell>
          <cell r="B1936">
            <v>-3.6126884049000003E-2</v>
          </cell>
        </row>
        <row r="1937">
          <cell r="A1937">
            <v>2.0499999999999999E-6</v>
          </cell>
          <cell r="B1937">
            <v>-3.7734924232999997E-2</v>
          </cell>
        </row>
        <row r="1938">
          <cell r="A1938">
            <v>2.0549999999999998E-6</v>
          </cell>
          <cell r="B1938">
            <v>-3.6930904140999997E-2</v>
          </cell>
        </row>
        <row r="1939">
          <cell r="A1939">
            <v>2.0600000000000002E-6</v>
          </cell>
          <cell r="B1939">
            <v>-3.3714823774000001E-2</v>
          </cell>
        </row>
        <row r="1940">
          <cell r="A1940">
            <v>2.0650000000000001E-6</v>
          </cell>
          <cell r="B1940">
            <v>-3.5322863958000002E-2</v>
          </cell>
        </row>
        <row r="1941">
          <cell r="A1941">
            <v>2.0700000000000001E-6</v>
          </cell>
          <cell r="B1941">
            <v>-3.6930904142000003E-2</v>
          </cell>
        </row>
        <row r="1942">
          <cell r="A1942">
            <v>2.075E-6</v>
          </cell>
          <cell r="B1942">
            <v>-3.2910803682000001E-2</v>
          </cell>
        </row>
        <row r="1943">
          <cell r="A1943">
            <v>2.08E-6</v>
          </cell>
          <cell r="B1943">
            <v>-3.3714823774000001E-2</v>
          </cell>
        </row>
        <row r="1944">
          <cell r="A1944">
            <v>2.0849999999999999E-6</v>
          </cell>
          <cell r="B1944">
            <v>-3.4518843866000001E-2</v>
          </cell>
        </row>
        <row r="1945">
          <cell r="A1945">
            <v>2.0899999999999999E-6</v>
          </cell>
          <cell r="B1945">
            <v>-3.4518843866000001E-2</v>
          </cell>
        </row>
        <row r="1946">
          <cell r="A1946">
            <v>2.0949999999999998E-6</v>
          </cell>
          <cell r="B1946">
            <v>-3.5322863958000002E-2</v>
          </cell>
        </row>
        <row r="1947">
          <cell r="A1947">
            <v>2.0999999999999998E-6</v>
          </cell>
          <cell r="B1947">
            <v>-3.210678359E-2</v>
          </cell>
        </row>
        <row r="1948">
          <cell r="A1948">
            <v>2.1050000000000002E-6</v>
          </cell>
          <cell r="B1948">
            <v>-3.5322863958000002E-2</v>
          </cell>
        </row>
        <row r="1949">
          <cell r="A1949">
            <v>2.1100000000000001E-6</v>
          </cell>
          <cell r="B1949">
            <v>-3.4518843866000001E-2</v>
          </cell>
        </row>
        <row r="1950">
          <cell r="A1950">
            <v>2.1150000000000001E-6</v>
          </cell>
          <cell r="B1950">
            <v>-3.6930904142000003E-2</v>
          </cell>
        </row>
        <row r="1951">
          <cell r="A1951">
            <v>2.12E-6</v>
          </cell>
          <cell r="B1951">
            <v>-3.3714823774000001E-2</v>
          </cell>
        </row>
        <row r="1952">
          <cell r="A1952">
            <v>2.125E-6</v>
          </cell>
          <cell r="B1952">
            <v>-3.3714823774000001E-2</v>
          </cell>
        </row>
        <row r="1953">
          <cell r="A1953">
            <v>2.1299999999999999E-6</v>
          </cell>
          <cell r="B1953">
            <v>-3.3714823774000001E-2</v>
          </cell>
        </row>
        <row r="1954">
          <cell r="A1954">
            <v>2.1349999999999999E-6</v>
          </cell>
          <cell r="B1954">
            <v>-3.5322863958000002E-2</v>
          </cell>
        </row>
        <row r="1955">
          <cell r="A1955">
            <v>2.1399999999999998E-6</v>
          </cell>
          <cell r="B1955">
            <v>-3.6930904142000003E-2</v>
          </cell>
        </row>
        <row r="1956">
          <cell r="A1956">
            <v>2.1449999999999998E-6</v>
          </cell>
          <cell r="B1956">
            <v>-3.6126884050000002E-2</v>
          </cell>
        </row>
        <row r="1957">
          <cell r="A1957">
            <v>2.1500000000000002E-6</v>
          </cell>
          <cell r="B1957">
            <v>-3.2910803682000001E-2</v>
          </cell>
        </row>
        <row r="1958">
          <cell r="A1958">
            <v>2.1550000000000001E-6</v>
          </cell>
          <cell r="B1958">
            <v>-3.3714823774000001E-2</v>
          </cell>
        </row>
        <row r="1959">
          <cell r="A1959">
            <v>2.1600000000000001E-6</v>
          </cell>
          <cell r="B1959">
            <v>-3.5322863958000002E-2</v>
          </cell>
        </row>
        <row r="1960">
          <cell r="A1960">
            <v>2.165E-6</v>
          </cell>
          <cell r="B1960">
            <v>-3.3714823774000001E-2</v>
          </cell>
        </row>
        <row r="1961">
          <cell r="A1961">
            <v>2.17E-6</v>
          </cell>
          <cell r="B1961">
            <v>-3.6930904140999997E-2</v>
          </cell>
        </row>
        <row r="1962">
          <cell r="A1962">
            <v>2.1749999999999999E-6</v>
          </cell>
          <cell r="B1962">
            <v>-3.1302763498999998E-2</v>
          </cell>
        </row>
        <row r="1963">
          <cell r="A1963">
            <v>2.1799999999999999E-6</v>
          </cell>
          <cell r="B1963">
            <v>-3.5322863958000002E-2</v>
          </cell>
        </row>
        <row r="1964">
          <cell r="A1964">
            <v>2.1849999999999998E-6</v>
          </cell>
          <cell r="B1964">
            <v>-3.4518843866000001E-2</v>
          </cell>
        </row>
        <row r="1965">
          <cell r="A1965">
            <v>2.1900000000000002E-6</v>
          </cell>
          <cell r="B1965">
            <v>-3.2910803682000001E-2</v>
          </cell>
        </row>
        <row r="1966">
          <cell r="A1966">
            <v>2.1950000000000002E-6</v>
          </cell>
          <cell r="B1966">
            <v>-3.4518843866000001E-2</v>
          </cell>
        </row>
        <row r="1967">
          <cell r="A1967">
            <v>2.2000000000000001E-6</v>
          </cell>
          <cell r="B1967">
            <v>-3.4518843866000001E-2</v>
          </cell>
        </row>
        <row r="1968">
          <cell r="A1968">
            <v>2.2050000000000001E-6</v>
          </cell>
          <cell r="B1968">
            <v>-3.2910803682000001E-2</v>
          </cell>
        </row>
        <row r="1969">
          <cell r="A1969">
            <v>2.21E-6</v>
          </cell>
          <cell r="B1969">
            <v>-3.6126884050000002E-2</v>
          </cell>
        </row>
        <row r="1970">
          <cell r="A1970">
            <v>2.215E-6</v>
          </cell>
          <cell r="B1970">
            <v>-3.5322863958000002E-2</v>
          </cell>
        </row>
        <row r="1971">
          <cell r="A1971">
            <v>2.2199999999999999E-6</v>
          </cell>
          <cell r="B1971">
            <v>-3.4518843866000001E-2</v>
          </cell>
        </row>
        <row r="1972">
          <cell r="A1972">
            <v>2.2249999999999999E-6</v>
          </cell>
          <cell r="B1972">
            <v>-3.2910803682000001E-2</v>
          </cell>
        </row>
        <row r="1973">
          <cell r="A1973">
            <v>2.2299999999999998E-6</v>
          </cell>
          <cell r="B1973">
            <v>-3.2910803682000001E-2</v>
          </cell>
        </row>
        <row r="1974">
          <cell r="A1974">
            <v>2.2350000000000002E-6</v>
          </cell>
          <cell r="B1974">
            <v>-3.3714823774000001E-2</v>
          </cell>
        </row>
        <row r="1975">
          <cell r="A1975">
            <v>2.2400000000000002E-6</v>
          </cell>
          <cell r="B1975">
            <v>-3.2106783590999999E-2</v>
          </cell>
        </row>
        <row r="1976">
          <cell r="A1976">
            <v>2.2450000000000001E-6</v>
          </cell>
          <cell r="B1976">
            <v>-3.7734924234000003E-2</v>
          </cell>
        </row>
        <row r="1977">
          <cell r="A1977">
            <v>2.2500000000000001E-6</v>
          </cell>
          <cell r="B1977">
            <v>-3.4518843866000001E-2</v>
          </cell>
        </row>
        <row r="1978">
          <cell r="A1978">
            <v>2.255E-6</v>
          </cell>
          <cell r="B1978">
            <v>-3.6126884050000002E-2</v>
          </cell>
        </row>
        <row r="1979">
          <cell r="A1979">
            <v>2.26E-6</v>
          </cell>
          <cell r="B1979">
            <v>-3.4518843866000001E-2</v>
          </cell>
        </row>
        <row r="1980">
          <cell r="A1980">
            <v>2.2649999999999999E-6</v>
          </cell>
          <cell r="B1980">
            <v>-3.6126884050000002E-2</v>
          </cell>
        </row>
        <row r="1981">
          <cell r="A1981">
            <v>2.2699999999999999E-6</v>
          </cell>
          <cell r="B1981">
            <v>-3.4518843866000001E-2</v>
          </cell>
        </row>
        <row r="1982">
          <cell r="A1982">
            <v>2.2749999999999998E-6</v>
          </cell>
          <cell r="B1982">
            <v>-3.5322863958000002E-2</v>
          </cell>
        </row>
        <row r="1983">
          <cell r="A1983">
            <v>2.2800000000000002E-6</v>
          </cell>
          <cell r="B1983">
            <v>-3.4518843866000001E-2</v>
          </cell>
        </row>
        <row r="1984">
          <cell r="A1984">
            <v>2.2850000000000001E-6</v>
          </cell>
          <cell r="B1984">
            <v>-3.5322863958000002E-2</v>
          </cell>
        </row>
        <row r="1985">
          <cell r="A1985">
            <v>2.2900000000000001E-6</v>
          </cell>
          <cell r="B1985">
            <v>-3.5322863958000002E-2</v>
          </cell>
        </row>
        <row r="1986">
          <cell r="A1986">
            <v>2.295E-6</v>
          </cell>
          <cell r="B1986">
            <v>-3.6126884050000002E-2</v>
          </cell>
        </row>
        <row r="1987">
          <cell r="A1987">
            <v>2.3E-6</v>
          </cell>
          <cell r="B1987">
            <v>-3.7734924232999997E-2</v>
          </cell>
        </row>
        <row r="1988">
          <cell r="A1988">
            <v>2.305E-6</v>
          </cell>
          <cell r="B1988">
            <v>-3.4518843866000001E-2</v>
          </cell>
        </row>
        <row r="1989">
          <cell r="A1989">
            <v>2.3099999999999999E-6</v>
          </cell>
          <cell r="B1989">
            <v>-3.6930904142000003E-2</v>
          </cell>
        </row>
        <row r="1990">
          <cell r="A1990">
            <v>2.3149999999999999E-6</v>
          </cell>
          <cell r="B1990">
            <v>-3.6126884050000002E-2</v>
          </cell>
        </row>
        <row r="1991">
          <cell r="A1991">
            <v>2.3199999999999998E-6</v>
          </cell>
          <cell r="B1991">
            <v>-3.6126884050000002E-2</v>
          </cell>
        </row>
        <row r="1992">
          <cell r="A1992">
            <v>2.3250000000000002E-6</v>
          </cell>
          <cell r="B1992">
            <v>-3.3714823774000001E-2</v>
          </cell>
        </row>
        <row r="1993">
          <cell r="A1993">
            <v>2.3300000000000001E-6</v>
          </cell>
          <cell r="B1993">
            <v>-3.8538944324999998E-2</v>
          </cell>
        </row>
        <row r="1994">
          <cell r="A1994">
            <v>2.3350000000000001E-6</v>
          </cell>
          <cell r="B1994">
            <v>-3.7734924234000003E-2</v>
          </cell>
        </row>
        <row r="1995">
          <cell r="A1995">
            <v>2.34E-6</v>
          </cell>
          <cell r="B1995">
            <v>-3.6126884050000002E-2</v>
          </cell>
        </row>
        <row r="1996">
          <cell r="A1996">
            <v>2.345E-6</v>
          </cell>
          <cell r="B1996">
            <v>-3.5322863958000002E-2</v>
          </cell>
        </row>
        <row r="1997">
          <cell r="A1997">
            <v>2.3499999999999999E-6</v>
          </cell>
          <cell r="B1997">
            <v>-3.3714823774000001E-2</v>
          </cell>
        </row>
        <row r="1998">
          <cell r="A1998">
            <v>2.3549999999999999E-6</v>
          </cell>
          <cell r="B1998">
            <v>-3.6126884050000002E-2</v>
          </cell>
        </row>
        <row r="1999">
          <cell r="A1999">
            <v>2.3599999999999999E-6</v>
          </cell>
          <cell r="B1999">
            <v>-3.7734924234000003E-2</v>
          </cell>
        </row>
        <row r="2000">
          <cell r="A2000">
            <v>2.3649999999999998E-6</v>
          </cell>
          <cell r="B2000">
            <v>-3.6126884050000002E-2</v>
          </cell>
        </row>
        <row r="2001">
          <cell r="A2001">
            <v>2.3700000000000002E-6</v>
          </cell>
          <cell r="B2001">
            <v>-3.5322863958000002E-2</v>
          </cell>
        </row>
        <row r="2002">
          <cell r="A2002">
            <v>2.3750000000000001E-6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4"/>
  <sheetViews>
    <sheetView tabSelected="1" topLeftCell="A142" zoomScale="70" zoomScaleNormal="70" workbookViewId="0">
      <selection activeCell="F158" sqref="F158"/>
    </sheetView>
  </sheetViews>
  <sheetFormatPr defaultRowHeight="14.4" x14ac:dyDescent="0.3"/>
  <cols>
    <col min="1" max="1" width="28.21875" customWidth="1"/>
    <col min="2" max="2" width="17" customWidth="1"/>
    <col min="3" max="3" width="18.33203125" customWidth="1"/>
    <col min="4" max="4" width="22.5546875" customWidth="1"/>
    <col min="5" max="5" width="21.21875" customWidth="1"/>
    <col min="6" max="6" width="23.109375" customWidth="1"/>
    <col min="7" max="8" width="23" customWidth="1"/>
    <col min="9" max="9" width="22.33203125" customWidth="1"/>
    <col min="10" max="10" width="19.33203125" customWidth="1"/>
    <col min="11" max="11" width="23.44140625" customWidth="1"/>
    <col min="12" max="12" width="22.44140625" customWidth="1"/>
    <col min="13" max="13" width="28.109375" customWidth="1"/>
    <col min="14" max="15" width="28.6640625" customWidth="1"/>
    <col min="16" max="16" width="25.109375" customWidth="1"/>
    <col min="17" max="17" width="15.88671875" customWidth="1"/>
  </cols>
  <sheetData>
    <row r="1" spans="1:16" ht="29.4" thickBot="1" x14ac:dyDescent="0.35">
      <c r="A1" s="1" t="s">
        <v>8</v>
      </c>
      <c r="B1" s="2" t="s">
        <v>0</v>
      </c>
      <c r="C1" s="2" t="s">
        <v>4</v>
      </c>
      <c r="D1" s="2" t="s">
        <v>1</v>
      </c>
      <c r="E1" s="2" t="s">
        <v>2</v>
      </c>
      <c r="F1" s="2" t="s">
        <v>4</v>
      </c>
      <c r="G1" s="2" t="s">
        <v>1</v>
      </c>
      <c r="H1" s="2"/>
      <c r="I1" s="2" t="s">
        <v>2</v>
      </c>
      <c r="K1" s="1" t="s">
        <v>5</v>
      </c>
      <c r="L1" s="2" t="s">
        <v>0</v>
      </c>
      <c r="M1" s="2" t="s">
        <v>4</v>
      </c>
      <c r="N1" s="2" t="s">
        <v>1</v>
      </c>
      <c r="O1" s="2"/>
      <c r="P1" s="2" t="s">
        <v>2</v>
      </c>
    </row>
    <row r="2" spans="1:16" ht="15" thickBot="1" x14ac:dyDescent="0.35">
      <c r="A2" s="6">
        <v>200</v>
      </c>
      <c r="B2" s="4">
        <v>0.125</v>
      </c>
      <c r="C2" s="4">
        <v>9.1999999999999998E-2</v>
      </c>
      <c r="D2" s="4">
        <f>C2/B2</f>
        <v>0.73599999999999999</v>
      </c>
      <c r="E2" s="4">
        <f>20*LOG10(D2)</f>
        <v>-2.6624437132500227</v>
      </c>
      <c r="F2" s="7">
        <v>0.8</v>
      </c>
      <c r="G2" s="7" t="e">
        <f>F2/#REF!</f>
        <v>#REF!</v>
      </c>
      <c r="H2" s="7"/>
      <c r="I2" s="7" t="e">
        <f>20*LOG10(G2)</f>
        <v>#REF!</v>
      </c>
      <c r="J2" s="5"/>
      <c r="K2" s="6">
        <v>10</v>
      </c>
      <c r="L2" s="7">
        <v>0.125</v>
      </c>
      <c r="M2" s="7">
        <v>1.65</v>
      </c>
      <c r="N2" s="7">
        <f>M2/L2</f>
        <v>13.2</v>
      </c>
      <c r="O2" s="7"/>
      <c r="P2" s="7">
        <f>20*LOG10(N2)</f>
        <v>22.411478624116995</v>
      </c>
    </row>
    <row r="3" spans="1:16" ht="15" thickBot="1" x14ac:dyDescent="0.35">
      <c r="A3" s="6">
        <v>600</v>
      </c>
      <c r="B3" s="4">
        <v>0.125</v>
      </c>
      <c r="C3" s="4">
        <v>8.5999999999999993E-2</v>
      </c>
      <c r="D3" s="4">
        <f t="shared" ref="D3:D39" si="0">C3/B3</f>
        <v>0.68799999999999994</v>
      </c>
      <c r="E3" s="4">
        <f t="shared" ref="E3:E39" si="1">20*LOG10(D3)</f>
        <v>-3.2482312352897749</v>
      </c>
      <c r="F3" s="7">
        <v>1</v>
      </c>
      <c r="G3" s="7" t="e">
        <f>F3/#REF!</f>
        <v>#REF!</v>
      </c>
      <c r="H3" s="7"/>
      <c r="I3" s="7" t="e">
        <f t="shared" ref="I3:I24" si="2">20*LOG10(G3)</f>
        <v>#REF!</v>
      </c>
      <c r="J3" s="5"/>
      <c r="K3" s="6">
        <v>20</v>
      </c>
      <c r="L3" s="7">
        <v>0.125</v>
      </c>
      <c r="M3" s="7">
        <v>1.44</v>
      </c>
      <c r="N3" s="7">
        <f t="shared" ref="N3:N27" si="3">M3/L3</f>
        <v>11.52</v>
      </c>
      <c r="O3" s="7"/>
      <c r="P3" s="7">
        <f t="shared" ref="P3:P26" si="4">20*LOG10(N3)</f>
        <v>21.229049581743865</v>
      </c>
    </row>
    <row r="4" spans="1:16" ht="15" thickBot="1" x14ac:dyDescent="0.35">
      <c r="A4" s="6">
        <v>1000</v>
      </c>
      <c r="B4" s="4">
        <v>0.125</v>
      </c>
      <c r="C4" s="4">
        <v>7.3999999999999996E-2</v>
      </c>
      <c r="D4" s="4">
        <f t="shared" si="0"/>
        <v>0.59199999999999997</v>
      </c>
      <c r="E4" s="4">
        <f t="shared" si="1"/>
        <v>-4.5535658655416054</v>
      </c>
      <c r="F4" s="7">
        <v>1.3</v>
      </c>
      <c r="G4" s="7" t="e">
        <f>F4/#REF!</f>
        <v>#REF!</v>
      </c>
      <c r="H4" s="7"/>
      <c r="I4" s="7" t="e">
        <f t="shared" si="2"/>
        <v>#REF!</v>
      </c>
      <c r="J4" s="5"/>
      <c r="K4" s="6">
        <v>30</v>
      </c>
      <c r="L4" s="7">
        <v>0.125</v>
      </c>
      <c r="M4" s="7">
        <v>1.22</v>
      </c>
      <c r="N4" s="7">
        <f t="shared" si="3"/>
        <v>9.76</v>
      </c>
      <c r="O4" s="7"/>
      <c r="P4" s="7">
        <f t="shared" si="4"/>
        <v>19.788996353333836</v>
      </c>
    </row>
    <row r="5" spans="1:16" ht="15" thickBot="1" x14ac:dyDescent="0.35">
      <c r="A5" s="6">
        <v>1400</v>
      </c>
      <c r="B5" s="4">
        <v>0.125</v>
      </c>
      <c r="C5" s="4">
        <v>7.2999999999999995E-2</v>
      </c>
      <c r="D5" s="4">
        <f t="shared" si="0"/>
        <v>0.58399999999999996</v>
      </c>
      <c r="E5" s="4">
        <f t="shared" si="1"/>
        <v>-4.6717430577520105</v>
      </c>
      <c r="F5" s="7">
        <v>1.4</v>
      </c>
      <c r="G5" s="7" t="e">
        <f>F5/#REF!</f>
        <v>#REF!</v>
      </c>
      <c r="H5" s="7"/>
      <c r="I5" s="7" t="e">
        <f t="shared" si="2"/>
        <v>#REF!</v>
      </c>
      <c r="J5" s="5"/>
      <c r="K5" s="6">
        <v>40</v>
      </c>
      <c r="L5" s="7">
        <v>0.125</v>
      </c>
      <c r="M5" s="7">
        <v>1</v>
      </c>
      <c r="N5" s="7">
        <f t="shared" si="3"/>
        <v>8</v>
      </c>
      <c r="O5" s="7"/>
      <c r="P5" s="7">
        <f t="shared" si="4"/>
        <v>18.061799739838872</v>
      </c>
    </row>
    <row r="6" spans="1:16" ht="15" thickBot="1" x14ac:dyDescent="0.35">
      <c r="A6" s="6">
        <v>1800</v>
      </c>
      <c r="B6" s="4">
        <v>0.125</v>
      </c>
      <c r="C6" s="4">
        <v>7.0000000000000007E-2</v>
      </c>
      <c r="D6" s="4">
        <f t="shared" si="0"/>
        <v>0.56000000000000005</v>
      </c>
      <c r="E6" s="4">
        <f t="shared" si="1"/>
        <v>-5.0362394598759908</v>
      </c>
      <c r="F6" s="7">
        <v>1.5</v>
      </c>
      <c r="G6" s="7" t="e">
        <f>F6/#REF!</f>
        <v>#REF!</v>
      </c>
      <c r="H6" s="7"/>
      <c r="I6" s="7" t="e">
        <f t="shared" si="2"/>
        <v>#REF!</v>
      </c>
      <c r="J6" s="5"/>
      <c r="K6" s="6">
        <v>50</v>
      </c>
      <c r="L6" s="7">
        <v>0.125</v>
      </c>
      <c r="M6" s="7">
        <v>0.86</v>
      </c>
      <c r="N6" s="7">
        <f t="shared" si="3"/>
        <v>6.88</v>
      </c>
      <c r="O6" s="7"/>
      <c r="P6" s="7">
        <f t="shared" si="4"/>
        <v>16.751768764710228</v>
      </c>
    </row>
    <row r="7" spans="1:16" ht="15" thickBot="1" x14ac:dyDescent="0.35">
      <c r="A7" s="6">
        <v>2200</v>
      </c>
      <c r="B7" s="4">
        <v>0.125</v>
      </c>
      <c r="C7" s="4">
        <v>6.8000000000000005E-2</v>
      </c>
      <c r="D7" s="4">
        <f t="shared" si="0"/>
        <v>0.54400000000000004</v>
      </c>
      <c r="E7" s="4">
        <f t="shared" si="1"/>
        <v>-5.2880220060364014</v>
      </c>
      <c r="F7" s="7">
        <v>1.5</v>
      </c>
      <c r="G7" s="7" t="e">
        <f>F7/#REF!</f>
        <v>#REF!</v>
      </c>
      <c r="H7" s="7"/>
      <c r="I7" s="7" t="e">
        <f t="shared" si="2"/>
        <v>#REF!</v>
      </c>
      <c r="J7" s="5"/>
      <c r="K7" s="6">
        <v>60</v>
      </c>
      <c r="L7" s="7">
        <v>0.125</v>
      </c>
      <c r="M7" s="7">
        <v>0.75</v>
      </c>
      <c r="N7" s="7">
        <f t="shared" si="3"/>
        <v>6</v>
      </c>
      <c r="O7" s="7"/>
      <c r="P7" s="7">
        <f t="shared" si="4"/>
        <v>15.563025007672874</v>
      </c>
    </row>
    <row r="8" spans="1:16" ht="15" thickBot="1" x14ac:dyDescent="0.35">
      <c r="A8" s="6">
        <v>2600</v>
      </c>
      <c r="B8" s="4">
        <v>0.125</v>
      </c>
      <c r="C8" s="4">
        <v>6.6000000000000003E-2</v>
      </c>
      <c r="D8" s="4">
        <f t="shared" si="0"/>
        <v>0.52800000000000002</v>
      </c>
      <c r="E8" s="4">
        <f t="shared" si="1"/>
        <v>-5.5473215493237547</v>
      </c>
      <c r="F8" s="7">
        <v>1.5</v>
      </c>
      <c r="G8" s="7" t="e">
        <f>F8/#REF!</f>
        <v>#REF!</v>
      </c>
      <c r="H8" s="7"/>
      <c r="I8" s="7" t="e">
        <f t="shared" si="2"/>
        <v>#REF!</v>
      </c>
      <c r="J8" s="5"/>
      <c r="K8" s="6">
        <v>70</v>
      </c>
      <c r="L8" s="7">
        <v>0.125</v>
      </c>
      <c r="M8" s="7">
        <v>0.68</v>
      </c>
      <c r="N8" s="7">
        <f t="shared" si="3"/>
        <v>5.44</v>
      </c>
      <c r="O8" s="7"/>
      <c r="P8" s="7">
        <f t="shared" si="4"/>
        <v>14.711977993963599</v>
      </c>
    </row>
    <row r="9" spans="1:16" ht="15" thickBot="1" x14ac:dyDescent="0.35">
      <c r="A9" s="6">
        <v>3000</v>
      </c>
      <c r="B9" s="4">
        <v>0.125</v>
      </c>
      <c r="C9" s="4">
        <v>0.06</v>
      </c>
      <c r="D9" s="4">
        <f t="shared" si="0"/>
        <v>0.48</v>
      </c>
      <c r="E9" s="4">
        <f t="shared" si="1"/>
        <v>-6.3751752524882557</v>
      </c>
      <c r="F9" s="7">
        <v>1.5</v>
      </c>
      <c r="G9" s="7" t="e">
        <f>F9/#REF!</f>
        <v>#REF!</v>
      </c>
      <c r="H9" s="7"/>
      <c r="I9" s="7" t="e">
        <f t="shared" si="2"/>
        <v>#REF!</v>
      </c>
      <c r="J9" s="5"/>
      <c r="K9" s="6">
        <v>80</v>
      </c>
      <c r="L9" s="7">
        <v>0.125</v>
      </c>
      <c r="M9" s="7">
        <v>0.61</v>
      </c>
      <c r="N9" s="7">
        <f t="shared" si="3"/>
        <v>4.88</v>
      </c>
      <c r="O9" s="7"/>
      <c r="P9" s="7">
        <f t="shared" si="4"/>
        <v>13.768396440054211</v>
      </c>
    </row>
    <row r="10" spans="1:16" ht="15" thickBot="1" x14ac:dyDescent="0.35">
      <c r="A10" s="8">
        <v>3400</v>
      </c>
      <c r="B10" s="9">
        <v>0.125</v>
      </c>
      <c r="C10" s="9">
        <v>5.5E-2</v>
      </c>
      <c r="D10" s="9">
        <f t="shared" si="0"/>
        <v>0.44</v>
      </c>
      <c r="E10" s="9">
        <f t="shared" si="1"/>
        <v>-7.1309464702762515</v>
      </c>
      <c r="F10" s="7">
        <v>1.6</v>
      </c>
      <c r="G10" s="7" t="e">
        <f>F10/#REF!</f>
        <v>#REF!</v>
      </c>
      <c r="H10" s="7"/>
      <c r="I10" s="7" t="e">
        <f t="shared" si="2"/>
        <v>#REF!</v>
      </c>
      <c r="J10" s="5"/>
      <c r="K10" s="6">
        <v>90</v>
      </c>
      <c r="L10" s="7">
        <v>0.125</v>
      </c>
      <c r="M10" s="7">
        <v>0.52</v>
      </c>
      <c r="N10" s="7">
        <f t="shared" si="3"/>
        <v>4.16</v>
      </c>
      <c r="O10" s="7"/>
      <c r="P10" s="7">
        <f t="shared" si="4"/>
        <v>12.381866612534855</v>
      </c>
    </row>
    <row r="11" spans="1:16" ht="15" thickBot="1" x14ac:dyDescent="0.35">
      <c r="A11" s="8">
        <v>3800</v>
      </c>
      <c r="B11" s="9">
        <v>0.125</v>
      </c>
      <c r="C11" s="9">
        <v>0.05</v>
      </c>
      <c r="D11" s="9">
        <f t="shared" si="0"/>
        <v>0.4</v>
      </c>
      <c r="E11" s="9">
        <f t="shared" si="1"/>
        <v>-7.9588001734407516</v>
      </c>
      <c r="F11" s="7">
        <v>1.6</v>
      </c>
      <c r="G11" s="7" t="e">
        <f>F11/#REF!</f>
        <v>#REF!</v>
      </c>
      <c r="H11" s="7"/>
      <c r="I11" s="7" t="e">
        <f t="shared" si="2"/>
        <v>#REF!</v>
      </c>
      <c r="J11" s="5"/>
      <c r="K11" s="6">
        <v>100</v>
      </c>
      <c r="L11" s="7">
        <v>0.125</v>
      </c>
      <c r="M11" s="7">
        <v>0.5</v>
      </c>
      <c r="N11" s="7">
        <f t="shared" si="3"/>
        <v>4</v>
      </c>
      <c r="O11" s="7"/>
      <c r="P11" s="7">
        <f t="shared" si="4"/>
        <v>12.041199826559248</v>
      </c>
    </row>
    <row r="12" spans="1:16" ht="15" thickBot="1" x14ac:dyDescent="0.35">
      <c r="A12" s="6">
        <v>4200</v>
      </c>
      <c r="B12" s="4">
        <v>0.125</v>
      </c>
      <c r="C12" s="4">
        <v>4.5999999999999999E-2</v>
      </c>
      <c r="D12" s="4">
        <f t="shared" si="0"/>
        <v>0.36799999999999999</v>
      </c>
      <c r="E12" s="4">
        <f t="shared" si="1"/>
        <v>-8.6830436265296473</v>
      </c>
      <c r="F12" s="7">
        <v>1.6</v>
      </c>
      <c r="G12" s="7" t="e">
        <f>F12/#REF!</f>
        <v>#REF!</v>
      </c>
      <c r="H12" s="7"/>
      <c r="I12" s="7" t="e">
        <f t="shared" si="2"/>
        <v>#REF!</v>
      </c>
      <c r="J12" s="5"/>
      <c r="K12" s="6">
        <v>110</v>
      </c>
      <c r="L12" s="7">
        <v>0.125</v>
      </c>
      <c r="M12" s="7">
        <v>0.47</v>
      </c>
      <c r="N12" s="7">
        <f t="shared" si="3"/>
        <v>3.76</v>
      </c>
      <c r="O12" s="7"/>
      <c r="P12" s="7">
        <f t="shared" si="4"/>
        <v>11.50375689855322</v>
      </c>
    </row>
    <row r="13" spans="1:16" ht="15" thickBot="1" x14ac:dyDescent="0.35">
      <c r="A13" s="6">
        <v>4600</v>
      </c>
      <c r="B13" s="4">
        <v>0.125</v>
      </c>
      <c r="C13" s="4">
        <v>3.6999999999999998E-2</v>
      </c>
      <c r="D13" s="4">
        <f t="shared" si="0"/>
        <v>0.29599999999999999</v>
      </c>
      <c r="E13" s="4">
        <f t="shared" si="1"/>
        <v>-10.574165778821229</v>
      </c>
      <c r="F13" s="7">
        <v>1.6</v>
      </c>
      <c r="G13" s="7" t="e">
        <f>F13/#REF!</f>
        <v>#REF!</v>
      </c>
      <c r="H13" s="7"/>
      <c r="I13" s="7" t="e">
        <f t="shared" si="2"/>
        <v>#REF!</v>
      </c>
      <c r="J13" s="5"/>
      <c r="K13" s="6">
        <v>120</v>
      </c>
      <c r="L13" s="7">
        <v>0.125</v>
      </c>
      <c r="M13" s="7">
        <v>0.44</v>
      </c>
      <c r="N13" s="7">
        <f t="shared" si="3"/>
        <v>3.52</v>
      </c>
      <c r="O13" s="7"/>
      <c r="P13" s="7">
        <f t="shared" si="4"/>
        <v>10.930853269562622</v>
      </c>
    </row>
    <row r="14" spans="1:16" ht="15" thickBot="1" x14ac:dyDescent="0.35">
      <c r="A14" s="6">
        <v>5000</v>
      </c>
      <c r="B14" s="4">
        <v>0.125</v>
      </c>
      <c r="C14" s="4">
        <v>3.1E-2</v>
      </c>
      <c r="D14" s="4">
        <f t="shared" si="0"/>
        <v>0.248</v>
      </c>
      <c r="E14" s="4">
        <f t="shared" si="1"/>
        <v>-12.110966383475674</v>
      </c>
      <c r="F14" s="7">
        <v>1.6</v>
      </c>
      <c r="G14" s="7" t="e">
        <f>F14/#REF!</f>
        <v>#REF!</v>
      </c>
      <c r="H14" s="7"/>
      <c r="I14" s="7" t="e">
        <f t="shared" si="2"/>
        <v>#REF!</v>
      </c>
      <c r="J14" s="5"/>
      <c r="K14" s="6">
        <v>130</v>
      </c>
      <c r="L14" s="7">
        <v>0.125</v>
      </c>
      <c r="M14" s="7">
        <v>0.42</v>
      </c>
      <c r="N14" s="7">
        <f t="shared" si="3"/>
        <v>3.36</v>
      </c>
      <c r="O14" s="7"/>
      <c r="P14" s="7">
        <f t="shared" si="4"/>
        <v>10.52678554779688</v>
      </c>
    </row>
    <row r="15" spans="1:16" ht="15" thickBot="1" x14ac:dyDescent="0.35">
      <c r="A15" s="6">
        <v>5400</v>
      </c>
      <c r="B15" s="4">
        <v>0.125</v>
      </c>
      <c r="C15" s="4">
        <v>2.5999999999999999E-2</v>
      </c>
      <c r="D15" s="4">
        <f t="shared" si="0"/>
        <v>0.20799999999999999</v>
      </c>
      <c r="E15" s="4">
        <f t="shared" si="1"/>
        <v>-13.63873330074477</v>
      </c>
      <c r="F15" s="7">
        <v>1.6</v>
      </c>
      <c r="G15" s="7" t="e">
        <f>F15/#REF!</f>
        <v>#REF!</v>
      </c>
      <c r="H15" s="7"/>
      <c r="I15" s="7" t="e">
        <f t="shared" si="2"/>
        <v>#REF!</v>
      </c>
      <c r="J15" s="5"/>
      <c r="K15" s="6">
        <v>140</v>
      </c>
      <c r="L15" s="7">
        <v>0.125</v>
      </c>
      <c r="M15" s="7">
        <v>0.4</v>
      </c>
      <c r="N15" s="7">
        <f t="shared" si="3"/>
        <v>3.2</v>
      </c>
      <c r="O15" s="7"/>
      <c r="P15" s="7">
        <f t="shared" si="4"/>
        <v>10.102999566398122</v>
      </c>
    </row>
    <row r="16" spans="1:16" ht="15" thickBot="1" x14ac:dyDescent="0.35">
      <c r="A16" s="6">
        <v>5800</v>
      </c>
      <c r="B16" s="4">
        <v>0.125</v>
      </c>
      <c r="C16" s="4">
        <v>1.7999999999999999E-2</v>
      </c>
      <c r="D16" s="4">
        <f t="shared" si="0"/>
        <v>0.14399999999999999</v>
      </c>
      <c r="E16" s="4">
        <f t="shared" si="1"/>
        <v>-16.832750158095006</v>
      </c>
      <c r="F16" s="7">
        <v>1.6</v>
      </c>
      <c r="G16" s="7" t="e">
        <f>F16/#REF!</f>
        <v>#REF!</v>
      </c>
      <c r="H16" s="7"/>
      <c r="I16" s="7" t="e">
        <f t="shared" si="2"/>
        <v>#REF!</v>
      </c>
      <c r="J16" s="5"/>
      <c r="K16" s="6">
        <v>150</v>
      </c>
      <c r="L16" s="7">
        <v>0.125</v>
      </c>
      <c r="M16" s="7">
        <v>0.38</v>
      </c>
      <c r="N16" s="7">
        <f t="shared" si="3"/>
        <v>3.04</v>
      </c>
      <c r="O16" s="7"/>
      <c r="P16" s="7">
        <f t="shared" si="4"/>
        <v>9.6574716721750757</v>
      </c>
    </row>
    <row r="17" spans="1:18" ht="15" thickBot="1" x14ac:dyDescent="0.35">
      <c r="A17" s="6">
        <v>6200</v>
      </c>
      <c r="B17" s="4">
        <v>0.125</v>
      </c>
      <c r="C17" s="4">
        <v>1.4E-2</v>
      </c>
      <c r="D17" s="4">
        <f t="shared" si="0"/>
        <v>0.112</v>
      </c>
      <c r="E17" s="4">
        <f t="shared" si="1"/>
        <v>-19.015639546596368</v>
      </c>
      <c r="F17" s="7">
        <v>1.6</v>
      </c>
      <c r="G17" s="7" t="e">
        <f>F17/#REF!</f>
        <v>#REF!</v>
      </c>
      <c r="H17" s="7"/>
      <c r="I17" s="7" t="e">
        <f t="shared" si="2"/>
        <v>#REF!</v>
      </c>
      <c r="J17" s="5"/>
      <c r="K17" s="6">
        <v>160</v>
      </c>
      <c r="L17" s="7">
        <v>0.125</v>
      </c>
      <c r="M17" s="7">
        <v>0.35</v>
      </c>
      <c r="N17" s="7">
        <f t="shared" si="3"/>
        <v>2.8</v>
      </c>
      <c r="O17" s="7"/>
      <c r="P17" s="7">
        <f t="shared" si="4"/>
        <v>8.9431606268443851</v>
      </c>
    </row>
    <row r="18" spans="1:18" ht="15" thickBot="1" x14ac:dyDescent="0.35">
      <c r="A18" s="6">
        <v>6600</v>
      </c>
      <c r="B18" s="4">
        <v>0.125</v>
      </c>
      <c r="C18" s="4">
        <v>1.4E-2</v>
      </c>
      <c r="D18" s="4">
        <f t="shared" si="0"/>
        <v>0.112</v>
      </c>
      <c r="E18" s="4">
        <f t="shared" si="1"/>
        <v>-19.015639546596368</v>
      </c>
      <c r="F18" s="7">
        <v>1.6</v>
      </c>
      <c r="G18" s="7" t="e">
        <f>F18/#REF!</f>
        <v>#REF!</v>
      </c>
      <c r="H18" s="7"/>
      <c r="I18" s="7" t="e">
        <f t="shared" si="2"/>
        <v>#REF!</v>
      </c>
      <c r="J18" s="5"/>
      <c r="K18" s="6">
        <v>170</v>
      </c>
      <c r="L18" s="7">
        <v>0.125</v>
      </c>
      <c r="M18" s="7">
        <v>0.33</v>
      </c>
      <c r="N18" s="7">
        <f t="shared" si="3"/>
        <v>2.64</v>
      </c>
      <c r="O18" s="7"/>
      <c r="P18" s="7">
        <f t="shared" si="4"/>
        <v>8.4320785373966203</v>
      </c>
    </row>
    <row r="19" spans="1:18" ht="15" thickBot="1" x14ac:dyDescent="0.35">
      <c r="A19" s="6">
        <v>7000</v>
      </c>
      <c r="B19" s="4">
        <v>0.125</v>
      </c>
      <c r="C19" s="4">
        <v>8.9999999999999993E-3</v>
      </c>
      <c r="D19" s="4">
        <f t="shared" si="0"/>
        <v>7.1999999999999995E-2</v>
      </c>
      <c r="E19" s="4">
        <f t="shared" si="1"/>
        <v>-22.853350071374628</v>
      </c>
      <c r="F19" s="7">
        <v>1.6</v>
      </c>
      <c r="G19" s="7" t="e">
        <f>F19/#REF!</f>
        <v>#REF!</v>
      </c>
      <c r="H19" s="7"/>
      <c r="I19" s="7" t="e">
        <f t="shared" si="2"/>
        <v>#REF!</v>
      </c>
      <c r="J19" s="5"/>
      <c r="K19" s="6">
        <v>180</v>
      </c>
      <c r="L19" s="7">
        <v>0.125</v>
      </c>
      <c r="M19" s="7">
        <v>0.31</v>
      </c>
      <c r="N19" s="7">
        <f t="shared" si="3"/>
        <v>2.48</v>
      </c>
      <c r="O19" s="7"/>
      <c r="P19" s="7">
        <f t="shared" si="4"/>
        <v>7.8890336165243262</v>
      </c>
    </row>
    <row r="20" spans="1:18" ht="15" thickBot="1" x14ac:dyDescent="0.35">
      <c r="A20" s="6">
        <v>7400</v>
      </c>
      <c r="B20" s="4">
        <v>0.125</v>
      </c>
      <c r="C20" s="4">
        <v>7.0000000000000001E-3</v>
      </c>
      <c r="D20" s="4">
        <f t="shared" si="0"/>
        <v>5.6000000000000001E-2</v>
      </c>
      <c r="E20" s="4">
        <f t="shared" si="1"/>
        <v>-25.03623945987599</v>
      </c>
      <c r="F20" s="7">
        <v>1.6</v>
      </c>
      <c r="G20" s="7" t="e">
        <f>F20/#REF!</f>
        <v>#REF!</v>
      </c>
      <c r="H20" s="7"/>
      <c r="I20" s="7" t="e">
        <f t="shared" si="2"/>
        <v>#REF!</v>
      </c>
      <c r="J20" s="5"/>
      <c r="K20" s="6">
        <v>190</v>
      </c>
      <c r="L20" s="7">
        <v>0.125</v>
      </c>
      <c r="M20" s="7">
        <v>0.3</v>
      </c>
      <c r="N20" s="7">
        <f t="shared" si="3"/>
        <v>2.4</v>
      </c>
      <c r="O20" s="7"/>
      <c r="P20" s="7">
        <f t="shared" si="4"/>
        <v>7.6042248342321201</v>
      </c>
      <c r="R20" t="s">
        <v>7</v>
      </c>
    </row>
    <row r="21" spans="1:18" ht="15" thickBot="1" x14ac:dyDescent="0.35">
      <c r="A21" s="6">
        <v>7800</v>
      </c>
      <c r="B21" s="4">
        <v>0.125</v>
      </c>
      <c r="C21" s="4">
        <v>4.0000000000000001E-3</v>
      </c>
      <c r="D21" s="4">
        <f t="shared" si="0"/>
        <v>3.2000000000000001E-2</v>
      </c>
      <c r="E21" s="4">
        <f t="shared" si="1"/>
        <v>-29.897000433601878</v>
      </c>
      <c r="F21" s="7">
        <v>1.6</v>
      </c>
      <c r="G21" s="7" t="e">
        <f>F21/#REF!</f>
        <v>#REF!</v>
      </c>
      <c r="H21" s="7"/>
      <c r="I21" s="7" t="e">
        <f t="shared" si="2"/>
        <v>#REF!</v>
      </c>
      <c r="J21" s="5"/>
      <c r="K21" s="6">
        <v>200</v>
      </c>
      <c r="L21" s="7">
        <v>0.125</v>
      </c>
      <c r="M21" s="7">
        <v>0.3</v>
      </c>
      <c r="N21" s="7">
        <f t="shared" si="3"/>
        <v>2.4</v>
      </c>
      <c r="O21" s="7"/>
      <c r="P21" s="7">
        <f t="shared" si="4"/>
        <v>7.6042248342321201</v>
      </c>
    </row>
    <row r="22" spans="1:18" ht="15" thickBot="1" x14ac:dyDescent="0.35">
      <c r="A22" s="6">
        <v>8200</v>
      </c>
      <c r="B22" s="4">
        <v>0.125</v>
      </c>
      <c r="C22" s="4">
        <v>4.0000000000000001E-3</v>
      </c>
      <c r="D22" s="4">
        <f t="shared" si="0"/>
        <v>3.2000000000000001E-2</v>
      </c>
      <c r="E22" s="4">
        <f t="shared" si="1"/>
        <v>-29.897000433601878</v>
      </c>
      <c r="F22" s="7">
        <v>1.6</v>
      </c>
      <c r="G22" s="7" t="e">
        <f>F22/#REF!</f>
        <v>#REF!</v>
      </c>
      <c r="H22" s="7"/>
      <c r="I22" s="7" t="e">
        <f t="shared" si="2"/>
        <v>#REF!</v>
      </c>
      <c r="J22" s="5"/>
      <c r="K22" s="6">
        <v>210</v>
      </c>
      <c r="L22" s="7">
        <v>0.125</v>
      </c>
      <c r="M22" s="7">
        <v>0.28999999999999998</v>
      </c>
      <c r="N22" s="7">
        <f t="shared" si="3"/>
        <v>2.3199999999999998</v>
      </c>
      <c r="O22" s="7"/>
      <c r="P22" s="7">
        <f t="shared" si="4"/>
        <v>7.3097596978179924</v>
      </c>
    </row>
    <row r="23" spans="1:18" ht="15" thickBot="1" x14ac:dyDescent="0.35">
      <c r="A23" s="6">
        <v>8600</v>
      </c>
      <c r="B23" s="4">
        <v>0.125</v>
      </c>
      <c r="C23" s="4">
        <v>4.0000000000000001E-3</v>
      </c>
      <c r="D23" s="4">
        <f t="shared" si="0"/>
        <v>3.2000000000000001E-2</v>
      </c>
      <c r="E23" s="4">
        <f t="shared" si="1"/>
        <v>-29.897000433601878</v>
      </c>
      <c r="F23" s="7">
        <v>1.6</v>
      </c>
      <c r="G23" s="7" t="e">
        <f>F23/#REF!</f>
        <v>#REF!</v>
      </c>
      <c r="H23" s="7"/>
      <c r="I23" s="7" t="e">
        <f t="shared" si="2"/>
        <v>#REF!</v>
      </c>
      <c r="J23" s="5"/>
      <c r="K23" s="6">
        <v>220</v>
      </c>
      <c r="L23" s="7">
        <v>0.125</v>
      </c>
      <c r="M23" s="7">
        <v>0.28000000000000003</v>
      </c>
      <c r="N23" s="7">
        <f t="shared" si="3"/>
        <v>2.2400000000000002</v>
      </c>
      <c r="O23" s="7"/>
      <c r="P23" s="7">
        <f t="shared" si="4"/>
        <v>7.0049603666832567</v>
      </c>
    </row>
    <row r="24" spans="1:18" ht="15" thickBot="1" x14ac:dyDescent="0.35">
      <c r="A24" s="6">
        <v>9000</v>
      </c>
      <c r="B24" s="4">
        <v>0.125</v>
      </c>
      <c r="C24" s="4">
        <v>3.0000000000000001E-3</v>
      </c>
      <c r="D24" s="4">
        <f t="shared" si="0"/>
        <v>2.4E-2</v>
      </c>
      <c r="E24" s="4">
        <f t="shared" si="1"/>
        <v>-32.39577516576788</v>
      </c>
      <c r="F24" s="7">
        <v>1.6</v>
      </c>
      <c r="G24" s="7" t="e">
        <f>F24/#REF!</f>
        <v>#REF!</v>
      </c>
      <c r="H24" s="7"/>
      <c r="I24" s="7" t="e">
        <f t="shared" si="2"/>
        <v>#REF!</v>
      </c>
      <c r="J24" s="5"/>
      <c r="K24" s="6">
        <v>230</v>
      </c>
      <c r="L24" s="7">
        <v>0.125</v>
      </c>
      <c r="M24" s="7">
        <v>0.27</v>
      </c>
      <c r="N24" s="7">
        <f t="shared" si="3"/>
        <v>2.16</v>
      </c>
      <c r="O24" s="7"/>
      <c r="P24" s="7">
        <f t="shared" si="4"/>
        <v>6.689075023018618</v>
      </c>
    </row>
    <row r="25" spans="1:18" ht="15" thickBot="1" x14ac:dyDescent="0.35">
      <c r="A25" s="6">
        <v>9400</v>
      </c>
      <c r="B25" s="4">
        <v>0.125</v>
      </c>
      <c r="C25" s="4">
        <v>2E-3</v>
      </c>
      <c r="D25" s="4">
        <f t="shared" si="0"/>
        <v>1.6E-2</v>
      </c>
      <c r="E25" s="4">
        <f t="shared" si="1"/>
        <v>-35.917600346881507</v>
      </c>
      <c r="F25" s="7"/>
      <c r="G25" s="7"/>
      <c r="H25" s="7"/>
      <c r="I25" s="7"/>
      <c r="J25" s="5"/>
      <c r="K25" s="6">
        <v>240</v>
      </c>
      <c r="L25" s="7">
        <v>0.125</v>
      </c>
      <c r="M25" s="7">
        <v>0.25</v>
      </c>
      <c r="N25" s="7">
        <f t="shared" si="3"/>
        <v>2</v>
      </c>
      <c r="O25" s="7"/>
      <c r="P25" s="7">
        <f t="shared" si="4"/>
        <v>6.0205999132796242</v>
      </c>
    </row>
    <row r="26" spans="1:18" ht="15" thickBot="1" x14ac:dyDescent="0.35">
      <c r="A26" s="6">
        <v>9800</v>
      </c>
      <c r="B26" s="4">
        <v>0.125</v>
      </c>
      <c r="C26" s="4">
        <v>4.0000000000000001E-3</v>
      </c>
      <c r="D26" s="4">
        <f t="shared" si="0"/>
        <v>3.2000000000000001E-2</v>
      </c>
      <c r="E26" s="4">
        <f t="shared" si="1"/>
        <v>-29.897000433601878</v>
      </c>
      <c r="F26" s="7"/>
      <c r="G26" s="7"/>
      <c r="H26" s="7"/>
      <c r="I26" s="7"/>
      <c r="J26" s="5"/>
      <c r="K26" s="6">
        <v>300</v>
      </c>
      <c r="L26" s="7">
        <v>0.125</v>
      </c>
      <c r="M26" s="7">
        <v>0.17</v>
      </c>
      <c r="N26" s="7">
        <f t="shared" si="3"/>
        <v>1.36</v>
      </c>
      <c r="O26" s="7"/>
      <c r="P26" s="7">
        <f t="shared" si="4"/>
        <v>2.6707781674043507</v>
      </c>
    </row>
    <row r="27" spans="1:18" ht="15" thickBot="1" x14ac:dyDescent="0.35">
      <c r="A27" s="6">
        <v>10200</v>
      </c>
      <c r="B27" s="4">
        <v>0.125</v>
      </c>
      <c r="C27" s="4">
        <v>4.0000000000000001E-3</v>
      </c>
      <c r="D27" s="4">
        <f t="shared" si="0"/>
        <v>3.2000000000000001E-2</v>
      </c>
      <c r="E27" s="4">
        <f t="shared" si="1"/>
        <v>-29.897000433601878</v>
      </c>
      <c r="F27" s="4"/>
      <c r="G27" s="4"/>
      <c r="H27" s="4"/>
      <c r="I27" s="4"/>
      <c r="J27" s="5"/>
      <c r="K27" s="6">
        <v>400</v>
      </c>
      <c r="L27" s="7">
        <v>0.125</v>
      </c>
      <c r="M27" s="7">
        <v>0.13</v>
      </c>
      <c r="N27" s="7">
        <f t="shared" si="3"/>
        <v>1.04</v>
      </c>
      <c r="O27" s="7"/>
      <c r="P27" s="7">
        <f>20*LOG10(N27)</f>
        <v>0.3406667859756074</v>
      </c>
    </row>
    <row r="28" spans="1:18" ht="15" thickBot="1" x14ac:dyDescent="0.35">
      <c r="A28" s="6">
        <v>10600</v>
      </c>
      <c r="B28" s="4">
        <v>0.125</v>
      </c>
      <c r="C28" s="4">
        <v>4.0000000000000001E-3</v>
      </c>
      <c r="D28" s="4">
        <f t="shared" si="0"/>
        <v>3.2000000000000001E-2</v>
      </c>
      <c r="E28" s="4">
        <f t="shared" si="1"/>
        <v>-29.897000433601878</v>
      </c>
      <c r="F28" s="4"/>
      <c r="G28" s="4"/>
      <c r="H28" s="4"/>
      <c r="I28" s="4"/>
      <c r="J28" s="5"/>
      <c r="K28" s="3"/>
      <c r="L28" s="7"/>
      <c r="M28" s="7"/>
      <c r="N28" s="7"/>
      <c r="O28" s="7"/>
      <c r="P28" s="7"/>
    </row>
    <row r="29" spans="1:18" ht="15" thickBot="1" x14ac:dyDescent="0.35">
      <c r="A29" s="6">
        <v>11000</v>
      </c>
      <c r="B29" s="4">
        <v>0.125</v>
      </c>
      <c r="C29" s="4">
        <v>4.0000000000000001E-3</v>
      </c>
      <c r="D29" s="4">
        <f t="shared" si="0"/>
        <v>3.2000000000000001E-2</v>
      </c>
      <c r="E29" s="4">
        <f t="shared" si="1"/>
        <v>-29.897000433601878</v>
      </c>
      <c r="F29" s="4"/>
      <c r="G29" s="4"/>
      <c r="H29" s="4"/>
      <c r="I29" s="4"/>
      <c r="J29" s="5"/>
      <c r="K29" s="3"/>
      <c r="L29" s="4"/>
      <c r="M29" s="4"/>
      <c r="N29" s="4"/>
      <c r="O29" s="4"/>
      <c r="P29" s="4"/>
    </row>
    <row r="30" spans="1:18" ht="15" thickBot="1" x14ac:dyDescent="0.35">
      <c r="A30" s="6">
        <v>11400</v>
      </c>
      <c r="B30" s="4">
        <v>0.125</v>
      </c>
      <c r="C30" s="4">
        <v>4.0000000000000001E-3</v>
      </c>
      <c r="D30" s="4">
        <f t="shared" si="0"/>
        <v>3.2000000000000001E-2</v>
      </c>
      <c r="E30" s="4">
        <f t="shared" si="1"/>
        <v>-29.897000433601878</v>
      </c>
      <c r="F30" s="4"/>
      <c r="G30" s="4"/>
      <c r="H30" s="4"/>
      <c r="I30" s="4"/>
      <c r="J30" s="5"/>
      <c r="K30" s="3"/>
      <c r="L30" s="4"/>
      <c r="M30" s="4"/>
      <c r="N30" s="4"/>
      <c r="O30" s="4"/>
      <c r="P30" s="4"/>
    </row>
    <row r="31" spans="1:18" ht="15" thickBot="1" x14ac:dyDescent="0.35">
      <c r="A31" s="6">
        <v>11800</v>
      </c>
      <c r="B31" s="4">
        <v>0.125</v>
      </c>
      <c r="C31" s="4">
        <v>4.0000000000000001E-3</v>
      </c>
      <c r="D31" s="4">
        <f t="shared" si="0"/>
        <v>3.2000000000000001E-2</v>
      </c>
      <c r="E31" s="4">
        <f t="shared" si="1"/>
        <v>-29.897000433601878</v>
      </c>
      <c r="F31" s="4"/>
      <c r="G31" s="4"/>
      <c r="H31" s="4"/>
      <c r="I31" s="4"/>
      <c r="J31" s="5"/>
      <c r="K31" s="3"/>
      <c r="L31" s="4"/>
      <c r="M31" s="4"/>
      <c r="N31" s="4"/>
      <c r="O31" s="4"/>
      <c r="P31" s="4"/>
    </row>
    <row r="32" spans="1:18" ht="15" thickBot="1" x14ac:dyDescent="0.35">
      <c r="A32" s="6">
        <v>12200</v>
      </c>
      <c r="B32" s="4">
        <v>0.125</v>
      </c>
      <c r="C32" s="4">
        <v>4.0000000000000001E-3</v>
      </c>
      <c r="D32" s="4">
        <f t="shared" si="0"/>
        <v>3.2000000000000001E-2</v>
      </c>
      <c r="E32" s="4">
        <f t="shared" si="1"/>
        <v>-29.897000433601878</v>
      </c>
      <c r="F32" s="4"/>
      <c r="G32" s="4"/>
      <c r="H32" s="4"/>
      <c r="I32" s="4"/>
      <c r="J32" s="5"/>
      <c r="K32" s="3"/>
      <c r="L32" s="4"/>
      <c r="M32" s="4"/>
      <c r="N32" s="4"/>
      <c r="O32" s="4"/>
      <c r="P32" s="4"/>
    </row>
    <row r="33" spans="1:16" ht="15" thickBot="1" x14ac:dyDescent="0.35">
      <c r="A33" s="6">
        <v>12600</v>
      </c>
      <c r="B33" s="4">
        <v>0.125</v>
      </c>
      <c r="C33" s="4">
        <v>4.0000000000000001E-3</v>
      </c>
      <c r="D33" s="4">
        <f t="shared" si="0"/>
        <v>3.2000000000000001E-2</v>
      </c>
      <c r="E33" s="4">
        <f t="shared" si="1"/>
        <v>-29.897000433601878</v>
      </c>
      <c r="F33" s="4"/>
      <c r="G33" s="4"/>
      <c r="H33" s="4"/>
      <c r="I33" s="4"/>
      <c r="J33" s="5"/>
      <c r="K33" s="3"/>
      <c r="L33" s="4"/>
      <c r="M33" s="4"/>
      <c r="N33" s="4"/>
      <c r="O33" s="4"/>
      <c r="P33" s="4"/>
    </row>
    <row r="34" spans="1:16" ht="15" thickBot="1" x14ac:dyDescent="0.35">
      <c r="A34" s="6">
        <v>13000</v>
      </c>
      <c r="B34" s="4">
        <v>0.125</v>
      </c>
      <c r="C34" s="4">
        <v>4.0000000000000001E-3</v>
      </c>
      <c r="D34" s="4">
        <f t="shared" si="0"/>
        <v>3.2000000000000001E-2</v>
      </c>
      <c r="E34" s="4">
        <f t="shared" si="1"/>
        <v>-29.897000433601878</v>
      </c>
      <c r="F34" s="4"/>
      <c r="G34" s="4"/>
      <c r="H34" s="4"/>
      <c r="I34" s="4"/>
      <c r="J34" s="5"/>
      <c r="K34" s="3"/>
      <c r="L34" s="4"/>
      <c r="M34" s="4"/>
      <c r="N34" s="4"/>
      <c r="O34" s="4"/>
      <c r="P34" s="4"/>
    </row>
    <row r="35" spans="1:16" ht="15" thickBot="1" x14ac:dyDescent="0.35">
      <c r="A35" s="6">
        <v>13400</v>
      </c>
      <c r="B35" s="4">
        <v>0.125</v>
      </c>
      <c r="C35" s="4">
        <v>4.0000000000000001E-3</v>
      </c>
      <c r="D35" s="4">
        <f t="shared" si="0"/>
        <v>3.2000000000000001E-2</v>
      </c>
      <c r="E35" s="4">
        <f t="shared" si="1"/>
        <v>-29.897000433601878</v>
      </c>
      <c r="F35" s="4"/>
      <c r="G35" s="4"/>
      <c r="H35" s="4"/>
      <c r="I35" s="4"/>
      <c r="J35" s="5"/>
      <c r="K35" s="3"/>
      <c r="L35" s="4"/>
      <c r="M35" s="4"/>
      <c r="N35" s="4"/>
      <c r="O35" s="4"/>
      <c r="P35" s="4"/>
    </row>
    <row r="36" spans="1:16" ht="15" thickBot="1" x14ac:dyDescent="0.35">
      <c r="A36" s="6">
        <v>13800</v>
      </c>
      <c r="B36" s="4">
        <v>0.125</v>
      </c>
      <c r="C36" s="4">
        <v>4.0000000000000001E-3</v>
      </c>
      <c r="D36" s="4">
        <f t="shared" si="0"/>
        <v>3.2000000000000001E-2</v>
      </c>
      <c r="E36" s="4">
        <f t="shared" si="1"/>
        <v>-29.897000433601878</v>
      </c>
      <c r="F36" s="4"/>
      <c r="G36" s="4"/>
      <c r="H36" s="4"/>
      <c r="I36" s="4"/>
      <c r="J36" s="5"/>
      <c r="K36" s="3"/>
      <c r="L36" s="4"/>
      <c r="M36" s="4"/>
      <c r="N36" s="4"/>
      <c r="O36" s="4"/>
      <c r="P36" s="4"/>
    </row>
    <row r="37" spans="1:16" ht="15" thickBot="1" x14ac:dyDescent="0.35">
      <c r="A37" s="6">
        <v>14200</v>
      </c>
      <c r="B37" s="4">
        <v>0.125</v>
      </c>
      <c r="C37" s="4">
        <v>4.0000000000000001E-3</v>
      </c>
      <c r="D37" s="4">
        <f t="shared" si="0"/>
        <v>3.2000000000000001E-2</v>
      </c>
      <c r="E37" s="4">
        <f t="shared" si="1"/>
        <v>-29.897000433601878</v>
      </c>
      <c r="F37" s="4"/>
      <c r="G37" s="4"/>
      <c r="H37" s="4"/>
      <c r="I37" s="4"/>
      <c r="J37" s="5"/>
      <c r="K37" s="3"/>
      <c r="L37" s="4"/>
      <c r="M37" s="4"/>
      <c r="N37" s="4"/>
      <c r="O37" s="4"/>
      <c r="P37" s="4"/>
    </row>
    <row r="38" spans="1:16" ht="15" thickBot="1" x14ac:dyDescent="0.35">
      <c r="A38" s="6">
        <v>14600</v>
      </c>
      <c r="B38" s="4">
        <v>0.125</v>
      </c>
      <c r="C38" s="4">
        <v>4.0000000000000001E-3</v>
      </c>
      <c r="D38" s="4">
        <f t="shared" si="0"/>
        <v>3.2000000000000001E-2</v>
      </c>
      <c r="E38" s="4">
        <f t="shared" si="1"/>
        <v>-29.897000433601878</v>
      </c>
      <c r="F38" s="4"/>
      <c r="G38" s="4"/>
      <c r="H38" s="4"/>
      <c r="I38" s="4"/>
      <c r="J38" s="5"/>
      <c r="K38" s="3"/>
      <c r="L38" s="4"/>
      <c r="M38" s="4"/>
      <c r="N38" s="4"/>
      <c r="O38" s="4"/>
      <c r="P38" s="4"/>
    </row>
    <row r="39" spans="1:16" ht="15" thickBot="1" x14ac:dyDescent="0.35">
      <c r="A39" s="6">
        <v>15000</v>
      </c>
      <c r="B39" s="4">
        <v>0.125</v>
      </c>
      <c r="C39" s="4">
        <v>4.0000000000000001E-3</v>
      </c>
      <c r="D39" s="4">
        <f t="shared" si="0"/>
        <v>3.2000000000000001E-2</v>
      </c>
      <c r="E39" s="4">
        <f t="shared" si="1"/>
        <v>-29.897000433601878</v>
      </c>
      <c r="F39" s="4"/>
      <c r="G39" s="4"/>
      <c r="H39" s="4"/>
      <c r="I39" s="4"/>
      <c r="J39" s="5"/>
      <c r="K39" s="3"/>
      <c r="L39" s="4"/>
      <c r="M39" s="4"/>
      <c r="N39" s="4"/>
      <c r="O39" s="4"/>
      <c r="P39" s="4"/>
    </row>
    <row r="40" spans="1:16" x14ac:dyDescent="0.3">
      <c r="A40" t="s">
        <v>3</v>
      </c>
      <c r="B40" s="5"/>
      <c r="C40" s="5"/>
      <c r="D40" s="5"/>
      <c r="E40" s="5"/>
      <c r="K40" t="s">
        <v>6</v>
      </c>
    </row>
    <row r="41" spans="1:16" x14ac:dyDescent="0.3">
      <c r="B41" s="5"/>
      <c r="C41" s="5"/>
      <c r="D41" s="5"/>
      <c r="E41" s="5"/>
    </row>
    <row r="42" spans="1:16" x14ac:dyDescent="0.3">
      <c r="B42" s="5"/>
      <c r="C42" s="5"/>
      <c r="D42" s="5"/>
      <c r="E42" s="5"/>
    </row>
    <row r="43" spans="1:16" x14ac:dyDescent="0.3">
      <c r="B43" s="5"/>
      <c r="C43" s="5"/>
      <c r="D43" s="5"/>
      <c r="E43" s="5"/>
    </row>
    <row r="44" spans="1:16" x14ac:dyDescent="0.3">
      <c r="B44" s="5"/>
      <c r="C44" s="5"/>
      <c r="D44" s="5"/>
      <c r="E44" s="5"/>
    </row>
    <row r="45" spans="1:16" x14ac:dyDescent="0.3">
      <c r="B45" s="5"/>
      <c r="C45" s="5"/>
      <c r="D45" s="5"/>
      <c r="E45" s="5"/>
    </row>
    <row r="46" spans="1:16" x14ac:dyDescent="0.3">
      <c r="B46" s="5"/>
      <c r="C46" s="5"/>
      <c r="D46" s="5"/>
      <c r="E46" s="5"/>
    </row>
    <row r="47" spans="1:16" x14ac:dyDescent="0.3">
      <c r="B47" s="5"/>
      <c r="C47" s="5"/>
      <c r="D47" s="5"/>
      <c r="E47" s="5"/>
    </row>
    <row r="48" spans="1:16" x14ac:dyDescent="0.3">
      <c r="B48" s="5"/>
      <c r="C48" s="5"/>
      <c r="D48" s="5"/>
      <c r="E48" s="5"/>
    </row>
    <row r="49" spans="2:5" x14ac:dyDescent="0.3">
      <c r="B49" s="5"/>
      <c r="C49" s="5"/>
      <c r="D49" s="5"/>
      <c r="E49" s="5"/>
    </row>
    <row r="50" spans="2:5" x14ac:dyDescent="0.3">
      <c r="B50" s="5"/>
      <c r="C50" s="5"/>
      <c r="D50" s="5"/>
      <c r="E50" s="5"/>
    </row>
    <row r="51" spans="2:5" x14ac:dyDescent="0.3">
      <c r="B51" s="5"/>
      <c r="C51" s="5"/>
      <c r="D51" s="5"/>
      <c r="E51" s="5"/>
    </row>
    <row r="52" spans="2:5" x14ac:dyDescent="0.3">
      <c r="B52" s="5"/>
      <c r="C52" s="5"/>
      <c r="D52" s="5"/>
      <c r="E52" s="5"/>
    </row>
    <row r="53" spans="2:5" x14ac:dyDescent="0.3">
      <c r="B53" s="5"/>
      <c r="C53" s="5"/>
      <c r="D53" s="5"/>
      <c r="E53" s="5"/>
    </row>
    <row r="54" spans="2:5" x14ac:dyDescent="0.3">
      <c r="B54" s="5"/>
      <c r="C54" s="5"/>
      <c r="D54" s="5"/>
      <c r="E54" s="5"/>
    </row>
    <row r="55" spans="2:5" x14ac:dyDescent="0.3">
      <c r="B55" s="5"/>
      <c r="C55" s="5"/>
      <c r="D55" s="5"/>
      <c r="E55" s="5"/>
    </row>
    <row r="56" spans="2:5" x14ac:dyDescent="0.3">
      <c r="B56" s="5"/>
      <c r="C56" s="5"/>
      <c r="D56" s="5"/>
      <c r="E56" s="5"/>
    </row>
    <row r="57" spans="2:5" x14ac:dyDescent="0.3">
      <c r="B57" s="5"/>
      <c r="C57" s="5"/>
      <c r="D57" s="5"/>
      <c r="E57" s="5"/>
    </row>
    <row r="58" spans="2:5" x14ac:dyDescent="0.3">
      <c r="B58" s="5"/>
      <c r="C58" s="5"/>
      <c r="D58" s="5"/>
      <c r="E58" s="5"/>
    </row>
    <row r="59" spans="2:5" x14ac:dyDescent="0.3">
      <c r="B59" s="5"/>
      <c r="C59" s="5"/>
      <c r="D59" s="5"/>
      <c r="E59" s="5"/>
    </row>
    <row r="60" spans="2:5" x14ac:dyDescent="0.3">
      <c r="B60" s="5"/>
      <c r="C60" s="5"/>
      <c r="D60" s="5"/>
      <c r="E60" s="5"/>
    </row>
    <row r="61" spans="2:5" x14ac:dyDescent="0.3">
      <c r="B61" s="5" t="s">
        <v>9</v>
      </c>
      <c r="C61" s="5"/>
      <c r="D61" s="5"/>
      <c r="E61" s="5"/>
    </row>
    <row r="62" spans="2:5" x14ac:dyDescent="0.3">
      <c r="B62" s="10" t="s">
        <v>10</v>
      </c>
      <c r="C62" s="5"/>
      <c r="D62" s="5"/>
      <c r="E62" s="5"/>
    </row>
    <row r="63" spans="2:5" x14ac:dyDescent="0.3">
      <c r="B63" s="5"/>
      <c r="C63" s="5"/>
      <c r="D63" s="5"/>
      <c r="E63" s="5"/>
    </row>
    <row r="64" spans="2:5" x14ac:dyDescent="0.3">
      <c r="B64" s="5"/>
      <c r="C64" s="5"/>
      <c r="D64" s="5"/>
      <c r="E64" s="5"/>
    </row>
    <row r="65" spans="1:15" x14ac:dyDescent="0.3">
      <c r="B65" s="5"/>
      <c r="C65" s="5"/>
      <c r="D65" s="5"/>
      <c r="E65" s="5"/>
    </row>
    <row r="66" spans="1:15" x14ac:dyDescent="0.3">
      <c r="B66" s="5"/>
      <c r="C66" s="5"/>
      <c r="D66" s="5"/>
      <c r="E66" s="5"/>
    </row>
    <row r="67" spans="1:15" x14ac:dyDescent="0.3">
      <c r="B67" s="5"/>
      <c r="C67" s="5"/>
      <c r="D67" s="5"/>
      <c r="E67" s="5"/>
    </row>
    <row r="68" spans="1:15" x14ac:dyDescent="0.3">
      <c r="B68" s="5"/>
      <c r="C68" s="5"/>
      <c r="D68" s="5"/>
      <c r="E68" s="5"/>
    </row>
    <row r="69" spans="1:15" x14ac:dyDescent="0.3">
      <c r="B69" s="5"/>
      <c r="C69" s="5"/>
      <c r="D69" s="5"/>
      <c r="E69" s="5"/>
    </row>
    <row r="70" spans="1:15" x14ac:dyDescent="0.3">
      <c r="B70" s="5"/>
      <c r="C70" s="5"/>
      <c r="D70" s="5"/>
      <c r="E70" s="5"/>
    </row>
    <row r="71" spans="1:15" x14ac:dyDescent="0.3">
      <c r="B71" s="10" t="s">
        <v>11</v>
      </c>
      <c r="C71" s="5"/>
      <c r="D71" s="5"/>
      <c r="E71" s="5"/>
      <c r="M71" t="s">
        <v>31</v>
      </c>
    </row>
    <row r="72" spans="1:15" ht="28.8" x14ac:dyDescent="0.3">
      <c r="A72" s="17" t="s">
        <v>8</v>
      </c>
      <c r="B72" s="18" t="s">
        <v>0</v>
      </c>
      <c r="C72" s="18">
        <v>9.1999999999999998E-2</v>
      </c>
      <c r="D72" s="18" t="s">
        <v>1</v>
      </c>
      <c r="E72" s="18" t="s">
        <v>2</v>
      </c>
      <c r="F72" s="15" t="s">
        <v>27</v>
      </c>
      <c r="G72" s="15" t="s">
        <v>28</v>
      </c>
      <c r="H72" s="15"/>
      <c r="I72" s="15" t="s">
        <v>30</v>
      </c>
      <c r="J72" s="15"/>
      <c r="K72" s="15" t="s">
        <v>12</v>
      </c>
      <c r="L72" s="15" t="s">
        <v>14</v>
      </c>
      <c r="M72" s="15" t="s">
        <v>13</v>
      </c>
      <c r="N72" s="15" t="s">
        <v>32</v>
      </c>
      <c r="O72" s="33"/>
    </row>
    <row r="73" spans="1:15" x14ac:dyDescent="0.3">
      <c r="A73" s="19">
        <v>200</v>
      </c>
      <c r="B73" s="20">
        <v>0.125</v>
      </c>
      <c r="C73" s="21">
        <v>8.5999999999999993E-2</v>
      </c>
      <c r="D73" s="20">
        <f>C72/B73</f>
        <v>0.73599999999999999</v>
      </c>
      <c r="E73" s="20">
        <f>20*LOG10(D73)</f>
        <v>-2.6624437132500227</v>
      </c>
      <c r="F73" s="16">
        <v>8.2000000000000003E-2</v>
      </c>
      <c r="G73" s="16">
        <v>50</v>
      </c>
      <c r="H73" s="16"/>
      <c r="I73" s="16">
        <f>(F73^2)/(4*G73)</f>
        <v>3.3620000000000007E-5</v>
      </c>
      <c r="J73" s="16"/>
      <c r="K73" s="27">
        <f>K123^2</f>
        <v>1.4340588888609E-5</v>
      </c>
      <c r="L73" s="24">
        <f>I73/K73</f>
        <v>2.3443946591834179</v>
      </c>
      <c r="M73" s="24">
        <f>K115*LOG(1+L73)</f>
        <v>273897.21257593448</v>
      </c>
      <c r="N73" s="16">
        <f>F73/(2*K123)</f>
        <v>-10.826806221558179</v>
      </c>
      <c r="O73" s="34"/>
    </row>
    <row r="74" spans="1:15" x14ac:dyDescent="0.3">
      <c r="A74" s="19">
        <v>600</v>
      </c>
      <c r="B74" s="20">
        <v>0.125</v>
      </c>
      <c r="C74" s="20">
        <v>6.6000000000000003E-2</v>
      </c>
      <c r="D74" s="20">
        <f t="shared" ref="D74:D110" si="5">C74/B74</f>
        <v>0.52800000000000002</v>
      </c>
      <c r="E74" s="20">
        <f t="shared" ref="E74:E110" si="6">20*LOG10(D74)</f>
        <v>-5.5473215493237547</v>
      </c>
      <c r="F74" s="16"/>
      <c r="G74" s="16"/>
      <c r="H74" s="16"/>
      <c r="I74" s="16"/>
      <c r="J74" s="16"/>
      <c r="K74" s="16"/>
      <c r="L74" s="16"/>
      <c r="M74" s="16"/>
    </row>
    <row r="75" spans="1:15" x14ac:dyDescent="0.3">
      <c r="A75" s="19">
        <v>1000</v>
      </c>
      <c r="B75" s="20">
        <v>0.125</v>
      </c>
      <c r="C75" s="20">
        <v>5.5300000000000002E-2</v>
      </c>
      <c r="D75" s="20">
        <f t="shared" si="5"/>
        <v>0.44240000000000002</v>
      </c>
      <c r="E75" s="20">
        <f>20*LOG10(D75)</f>
        <v>-7.0836976340671631</v>
      </c>
      <c r="F75" s="16"/>
      <c r="G75" s="16"/>
      <c r="H75" s="16"/>
      <c r="I75" s="16"/>
      <c r="J75" s="16"/>
      <c r="K75" s="16"/>
      <c r="L75" s="16"/>
      <c r="M75" s="16"/>
    </row>
    <row r="76" spans="1:15" x14ac:dyDescent="0.3">
      <c r="A76" s="19">
        <v>1400</v>
      </c>
      <c r="B76" s="20">
        <v>0.125</v>
      </c>
      <c r="C76" s="20">
        <v>5.1999999999999998E-2</v>
      </c>
      <c r="D76" s="20">
        <f t="shared" si="5"/>
        <v>0.41599999999999998</v>
      </c>
      <c r="E76" s="20">
        <f t="shared" si="6"/>
        <v>-7.6181333874651456</v>
      </c>
      <c r="F76" s="16"/>
      <c r="G76" s="16"/>
      <c r="H76" s="16"/>
      <c r="I76" s="16"/>
      <c r="J76" s="16"/>
      <c r="K76" s="16"/>
      <c r="L76" s="16"/>
      <c r="M76" s="16"/>
    </row>
    <row r="77" spans="1:15" x14ac:dyDescent="0.3">
      <c r="A77" s="19">
        <v>1800</v>
      </c>
      <c r="B77" s="20">
        <v>0.125</v>
      </c>
      <c r="C77" s="20">
        <v>0.05</v>
      </c>
      <c r="D77" s="20">
        <f t="shared" si="5"/>
        <v>0.4</v>
      </c>
      <c r="E77" s="20">
        <f t="shared" si="6"/>
        <v>-7.9588001734407516</v>
      </c>
      <c r="F77" s="16"/>
      <c r="G77" s="16"/>
      <c r="H77" s="16"/>
      <c r="I77" s="16"/>
      <c r="J77" s="16"/>
      <c r="K77" s="16"/>
      <c r="L77" s="16"/>
      <c r="M77" s="16"/>
    </row>
    <row r="78" spans="1:15" x14ac:dyDescent="0.3">
      <c r="A78" s="19">
        <v>2200</v>
      </c>
      <c r="B78" s="20">
        <v>0.125</v>
      </c>
      <c r="C78" s="20">
        <v>4.7E-2</v>
      </c>
      <c r="D78" s="20">
        <f t="shared" si="5"/>
        <v>0.376</v>
      </c>
      <c r="E78" s="20">
        <f t="shared" si="6"/>
        <v>-8.4962431014467796</v>
      </c>
      <c r="F78" s="16"/>
      <c r="G78" s="16"/>
      <c r="H78" s="16"/>
      <c r="I78" s="16"/>
      <c r="J78" s="16"/>
      <c r="K78" s="16"/>
      <c r="L78" s="16"/>
      <c r="M78" s="16"/>
    </row>
    <row r="79" spans="1:15" x14ac:dyDescent="0.3">
      <c r="A79" s="19">
        <v>2600</v>
      </c>
      <c r="B79" s="20">
        <v>0.125</v>
      </c>
      <c r="C79" s="20">
        <v>4.7E-2</v>
      </c>
      <c r="D79" s="20">
        <f t="shared" si="5"/>
        <v>0.376</v>
      </c>
      <c r="E79" s="20">
        <f t="shared" si="6"/>
        <v>-8.4962431014467796</v>
      </c>
      <c r="F79" s="16"/>
      <c r="G79" s="16"/>
      <c r="H79" s="16"/>
      <c r="I79" s="16"/>
      <c r="J79" s="16"/>
      <c r="K79" s="16"/>
      <c r="L79" s="16"/>
      <c r="M79" s="16"/>
    </row>
    <row r="80" spans="1:15" x14ac:dyDescent="0.3">
      <c r="A80" s="19">
        <v>3000</v>
      </c>
      <c r="B80" s="20">
        <v>0.125</v>
      </c>
      <c r="C80" s="20">
        <v>4.5999999999999999E-2</v>
      </c>
      <c r="D80" s="20">
        <f t="shared" si="5"/>
        <v>0.36799999999999999</v>
      </c>
      <c r="E80" s="20">
        <f t="shared" si="6"/>
        <v>-8.6830436265296473</v>
      </c>
      <c r="F80" s="16"/>
      <c r="G80" s="16"/>
      <c r="H80" s="16"/>
      <c r="I80" s="16"/>
      <c r="J80" s="16"/>
      <c r="K80" s="16"/>
      <c r="L80" s="16"/>
      <c r="M80" s="16"/>
    </row>
    <row r="81" spans="1:13" x14ac:dyDescent="0.3">
      <c r="A81" s="19">
        <v>3400</v>
      </c>
      <c r="B81" s="20">
        <v>0.125</v>
      </c>
      <c r="C81" s="20">
        <v>4.2999999999999997E-2</v>
      </c>
      <c r="D81" s="20">
        <f t="shared" si="5"/>
        <v>0.34399999999999997</v>
      </c>
      <c r="E81" s="20">
        <f t="shared" si="6"/>
        <v>-9.268831148569399</v>
      </c>
      <c r="F81" s="16"/>
      <c r="G81" s="16"/>
      <c r="H81" s="16"/>
      <c r="I81" s="16"/>
      <c r="J81" s="16"/>
      <c r="K81" s="16"/>
      <c r="L81" s="16"/>
      <c r="M81" s="16"/>
    </row>
    <row r="82" spans="1:13" x14ac:dyDescent="0.3">
      <c r="A82" s="19">
        <v>3800</v>
      </c>
      <c r="B82" s="20">
        <v>0.125</v>
      </c>
      <c r="C82" s="20">
        <v>4.2999999999999997E-2</v>
      </c>
      <c r="D82" s="20">
        <f t="shared" si="5"/>
        <v>0.34399999999999997</v>
      </c>
      <c r="E82" s="20">
        <f t="shared" si="6"/>
        <v>-9.268831148569399</v>
      </c>
      <c r="F82" s="16"/>
      <c r="G82" s="16"/>
      <c r="H82" s="16"/>
      <c r="I82" s="16"/>
      <c r="J82" s="16"/>
      <c r="K82" s="16"/>
      <c r="L82" s="16"/>
      <c r="M82" s="16"/>
    </row>
    <row r="83" spans="1:13" x14ac:dyDescent="0.3">
      <c r="A83" s="19">
        <v>4200</v>
      </c>
      <c r="B83" s="20">
        <v>0.125</v>
      </c>
      <c r="C83" s="20">
        <v>0.04</v>
      </c>
      <c r="D83" s="20">
        <f t="shared" si="5"/>
        <v>0.32</v>
      </c>
      <c r="E83" s="20">
        <f t="shared" si="6"/>
        <v>-9.89700043360188</v>
      </c>
      <c r="F83" s="16"/>
      <c r="G83" s="16"/>
      <c r="H83" s="16"/>
      <c r="I83" s="16"/>
      <c r="J83" s="16"/>
      <c r="K83" s="16"/>
      <c r="L83" s="16"/>
      <c r="M83" s="16"/>
    </row>
    <row r="84" spans="1:13" x14ac:dyDescent="0.3">
      <c r="A84" s="19">
        <v>4600</v>
      </c>
      <c r="B84" s="20">
        <v>0.125</v>
      </c>
      <c r="C84" s="20">
        <v>3.5799999999999998E-2</v>
      </c>
      <c r="D84" s="20">
        <f t="shared" si="5"/>
        <v>0.28639999999999999</v>
      </c>
      <c r="E84" s="20">
        <f t="shared" si="6"/>
        <v>-10.860539727283642</v>
      </c>
      <c r="F84" s="16"/>
      <c r="G84" s="16"/>
      <c r="H84" s="16"/>
      <c r="I84" s="16"/>
      <c r="J84" s="16"/>
      <c r="K84" s="16"/>
      <c r="L84" s="16"/>
      <c r="M84" s="16"/>
    </row>
    <row r="85" spans="1:13" x14ac:dyDescent="0.3">
      <c r="A85" s="19">
        <v>5000</v>
      </c>
      <c r="B85" s="20">
        <v>0.125</v>
      </c>
      <c r="C85" s="20">
        <v>2.5000000000000001E-2</v>
      </c>
      <c r="D85" s="20">
        <f t="shared" si="5"/>
        <v>0.2</v>
      </c>
      <c r="E85" s="20">
        <f t="shared" si="6"/>
        <v>-13.979400086720375</v>
      </c>
      <c r="F85" s="16"/>
      <c r="G85" s="16"/>
      <c r="H85" s="16"/>
      <c r="I85" s="16"/>
      <c r="J85" s="16"/>
      <c r="K85" s="16"/>
      <c r="L85" s="16"/>
      <c r="M85" s="16"/>
    </row>
    <row r="86" spans="1:13" x14ac:dyDescent="0.3">
      <c r="A86" s="19">
        <v>5400</v>
      </c>
      <c r="B86" s="20">
        <v>0.125</v>
      </c>
      <c r="C86" s="20">
        <v>0.02</v>
      </c>
      <c r="D86" s="20">
        <f t="shared" si="5"/>
        <v>0.16</v>
      </c>
      <c r="E86" s="20">
        <f t="shared" si="6"/>
        <v>-15.917600346881503</v>
      </c>
      <c r="F86" s="16"/>
      <c r="G86" s="16"/>
      <c r="H86" s="16"/>
      <c r="I86" s="16"/>
      <c r="J86" s="16"/>
      <c r="K86" s="16"/>
      <c r="L86" s="16"/>
      <c r="M86" s="16"/>
    </row>
    <row r="87" spans="1:13" x14ac:dyDescent="0.3">
      <c r="A87" s="19">
        <v>5800</v>
      </c>
      <c r="B87" s="20">
        <v>0.125</v>
      </c>
      <c r="C87" s="20">
        <v>1.7999999999999999E-2</v>
      </c>
      <c r="D87" s="20">
        <f t="shared" si="5"/>
        <v>0.14399999999999999</v>
      </c>
      <c r="E87" s="20">
        <f t="shared" si="6"/>
        <v>-16.832750158095006</v>
      </c>
      <c r="F87" s="16"/>
      <c r="G87" s="16"/>
      <c r="H87" s="16"/>
      <c r="I87" s="16"/>
      <c r="J87" s="16"/>
      <c r="K87" s="16"/>
      <c r="L87" s="16"/>
      <c r="M87" s="16"/>
    </row>
    <row r="88" spans="1:13" x14ac:dyDescent="0.3">
      <c r="A88" s="19">
        <v>6200</v>
      </c>
      <c r="B88" s="20">
        <v>0.125</v>
      </c>
      <c r="C88" s="20">
        <v>1.4E-2</v>
      </c>
      <c r="D88" s="20">
        <f t="shared" si="5"/>
        <v>0.112</v>
      </c>
      <c r="E88" s="20">
        <f t="shared" si="6"/>
        <v>-19.015639546596368</v>
      </c>
      <c r="F88" s="16"/>
      <c r="G88" s="16"/>
      <c r="H88" s="16"/>
      <c r="I88" s="16"/>
      <c r="J88" s="16"/>
      <c r="K88" s="16"/>
      <c r="L88" s="16"/>
      <c r="M88" s="16"/>
    </row>
    <row r="89" spans="1:13" x14ac:dyDescent="0.3">
      <c r="A89" s="19">
        <v>6600</v>
      </c>
      <c r="B89" s="20">
        <v>0.125</v>
      </c>
      <c r="C89" s="20">
        <v>8.0000000000000002E-3</v>
      </c>
      <c r="D89" s="20">
        <f t="shared" si="5"/>
        <v>6.4000000000000001E-2</v>
      </c>
      <c r="E89" s="20">
        <f t="shared" si="6"/>
        <v>-23.876400520322257</v>
      </c>
      <c r="F89" s="16"/>
      <c r="G89" s="16"/>
      <c r="H89" s="16"/>
      <c r="I89" s="16"/>
      <c r="J89" s="16"/>
      <c r="K89" s="16"/>
      <c r="L89" s="16"/>
      <c r="M89" s="16"/>
    </row>
    <row r="90" spans="1:13" x14ac:dyDescent="0.3">
      <c r="A90" s="19">
        <v>7000</v>
      </c>
      <c r="B90" s="20">
        <v>0.125</v>
      </c>
      <c r="C90" s="20">
        <v>7.0000000000000001E-3</v>
      </c>
      <c r="D90" s="20">
        <f t="shared" si="5"/>
        <v>5.6000000000000001E-2</v>
      </c>
      <c r="E90" s="20">
        <f t="shared" si="6"/>
        <v>-25.03623945987599</v>
      </c>
      <c r="F90" s="16"/>
      <c r="G90" s="16"/>
      <c r="H90" s="16"/>
      <c r="I90" s="16"/>
      <c r="J90" s="16"/>
      <c r="K90" s="16"/>
      <c r="L90" s="16"/>
      <c r="M90" s="16"/>
    </row>
    <row r="91" spans="1:13" x14ac:dyDescent="0.3">
      <c r="A91" s="19">
        <v>7400</v>
      </c>
      <c r="B91" s="20">
        <v>0.125</v>
      </c>
      <c r="C91" s="20">
        <v>4.0000000000000001E-3</v>
      </c>
      <c r="D91" s="20">
        <f t="shared" si="5"/>
        <v>3.2000000000000001E-2</v>
      </c>
      <c r="E91" s="20">
        <f t="shared" si="6"/>
        <v>-29.897000433601878</v>
      </c>
      <c r="F91" s="16"/>
      <c r="G91" s="16"/>
      <c r="H91" s="16"/>
      <c r="I91" s="16"/>
      <c r="J91" s="16"/>
      <c r="K91" s="16"/>
      <c r="L91" s="16"/>
      <c r="M91" s="16"/>
    </row>
    <row r="92" spans="1:13" x14ac:dyDescent="0.3">
      <c r="A92" s="19">
        <v>7800</v>
      </c>
      <c r="B92" s="20">
        <v>0.125</v>
      </c>
      <c r="C92" s="20">
        <v>5.0000000000000001E-3</v>
      </c>
      <c r="D92" s="20">
        <f t="shared" si="5"/>
        <v>0.04</v>
      </c>
      <c r="E92" s="20">
        <f t="shared" si="6"/>
        <v>-27.95880017344075</v>
      </c>
      <c r="F92" s="16"/>
      <c r="G92" s="16"/>
      <c r="H92" s="16"/>
      <c r="I92" s="16"/>
      <c r="J92" s="16"/>
      <c r="K92" s="16"/>
      <c r="L92" s="16"/>
      <c r="M92" s="16"/>
    </row>
    <row r="93" spans="1:13" x14ac:dyDescent="0.3">
      <c r="A93" s="19">
        <v>8200</v>
      </c>
      <c r="B93" s="20">
        <v>0.125</v>
      </c>
      <c r="C93" s="20">
        <v>4.0000000000000001E-3</v>
      </c>
      <c r="D93" s="20">
        <f t="shared" si="5"/>
        <v>3.2000000000000001E-2</v>
      </c>
      <c r="E93" s="20">
        <f t="shared" si="6"/>
        <v>-29.897000433601878</v>
      </c>
      <c r="F93" s="16"/>
      <c r="G93" s="16"/>
      <c r="H93" s="16"/>
      <c r="I93" s="16"/>
      <c r="J93" s="16"/>
      <c r="K93" s="16"/>
      <c r="L93" s="16"/>
      <c r="M93" s="16"/>
    </row>
    <row r="94" spans="1:13" x14ac:dyDescent="0.3">
      <c r="A94" s="19">
        <v>8600</v>
      </c>
      <c r="B94" s="20">
        <v>0.125</v>
      </c>
      <c r="C94" s="20">
        <v>4.0000000000000001E-3</v>
      </c>
      <c r="D94" s="20">
        <f t="shared" si="5"/>
        <v>3.2000000000000001E-2</v>
      </c>
      <c r="E94" s="20">
        <f t="shared" si="6"/>
        <v>-29.897000433601878</v>
      </c>
      <c r="F94" s="16"/>
      <c r="G94" s="16"/>
      <c r="H94" s="16"/>
      <c r="I94" s="16"/>
      <c r="J94" s="16"/>
      <c r="K94" s="16"/>
      <c r="L94" s="16"/>
      <c r="M94" s="16"/>
    </row>
    <row r="95" spans="1:13" x14ac:dyDescent="0.3">
      <c r="A95" s="19">
        <v>9000</v>
      </c>
      <c r="B95" s="20">
        <v>0.125</v>
      </c>
      <c r="C95" s="20">
        <v>3.0000000000000001E-3</v>
      </c>
      <c r="D95" s="20">
        <f t="shared" si="5"/>
        <v>2.4E-2</v>
      </c>
      <c r="E95" s="20">
        <f t="shared" si="6"/>
        <v>-32.39577516576788</v>
      </c>
      <c r="F95" s="16"/>
      <c r="G95" s="16"/>
      <c r="H95" s="16"/>
      <c r="I95" s="16"/>
      <c r="J95" s="16"/>
      <c r="K95" s="16"/>
      <c r="L95" s="16"/>
      <c r="M95" s="16"/>
    </row>
    <row r="96" spans="1:13" x14ac:dyDescent="0.3">
      <c r="A96" s="19">
        <v>9400</v>
      </c>
      <c r="B96" s="20">
        <v>0.125</v>
      </c>
      <c r="C96" s="20">
        <v>2E-3</v>
      </c>
      <c r="D96" s="20">
        <f t="shared" si="5"/>
        <v>1.6E-2</v>
      </c>
      <c r="E96" s="20">
        <f t="shared" si="6"/>
        <v>-35.917600346881507</v>
      </c>
      <c r="F96" s="16"/>
      <c r="G96" s="16"/>
      <c r="H96" s="16"/>
      <c r="I96" s="16"/>
      <c r="J96" s="16"/>
      <c r="K96" s="16"/>
      <c r="L96" s="16"/>
      <c r="M96" s="16"/>
    </row>
    <row r="97" spans="1:13" x14ac:dyDescent="0.3">
      <c r="A97" s="19">
        <v>9800</v>
      </c>
      <c r="B97" s="20">
        <v>0.125</v>
      </c>
      <c r="C97" s="20">
        <v>4.0000000000000001E-3</v>
      </c>
      <c r="D97" s="20">
        <f t="shared" si="5"/>
        <v>3.2000000000000001E-2</v>
      </c>
      <c r="E97" s="20">
        <f t="shared" si="6"/>
        <v>-29.897000433601878</v>
      </c>
      <c r="F97" s="16"/>
      <c r="G97" s="16"/>
      <c r="H97" s="16"/>
      <c r="I97" s="16"/>
      <c r="J97" s="16"/>
      <c r="K97" s="16"/>
      <c r="L97" s="16"/>
      <c r="M97" s="16"/>
    </row>
    <row r="98" spans="1:13" x14ac:dyDescent="0.3">
      <c r="A98" s="19">
        <v>10200</v>
      </c>
      <c r="B98" s="20">
        <v>0.125</v>
      </c>
      <c r="C98" s="20">
        <v>4.0000000000000001E-3</v>
      </c>
      <c r="D98" s="20">
        <f t="shared" si="5"/>
        <v>3.2000000000000001E-2</v>
      </c>
      <c r="E98" s="20">
        <f t="shared" si="6"/>
        <v>-29.897000433601878</v>
      </c>
      <c r="F98" s="16"/>
      <c r="G98" s="16"/>
      <c r="H98" s="16"/>
      <c r="I98" s="16"/>
      <c r="J98" s="16"/>
      <c r="K98" s="16"/>
      <c r="L98" s="16"/>
      <c r="M98" s="16"/>
    </row>
    <row r="99" spans="1:13" x14ac:dyDescent="0.3">
      <c r="A99" s="19">
        <v>10600</v>
      </c>
      <c r="B99" s="20">
        <v>0.125</v>
      </c>
      <c r="C99" s="20">
        <v>4.0000000000000001E-3</v>
      </c>
      <c r="D99" s="20">
        <f t="shared" si="5"/>
        <v>3.2000000000000001E-2</v>
      </c>
      <c r="E99" s="20">
        <f t="shared" si="6"/>
        <v>-29.897000433601878</v>
      </c>
      <c r="F99" s="16"/>
      <c r="G99" s="16"/>
      <c r="H99" s="16"/>
      <c r="I99" s="16"/>
      <c r="J99" s="16"/>
      <c r="K99" s="16"/>
      <c r="L99" s="16"/>
      <c r="M99" s="16"/>
    </row>
    <row r="100" spans="1:13" x14ac:dyDescent="0.3">
      <c r="A100" s="19">
        <v>11000</v>
      </c>
      <c r="B100" s="20">
        <v>0.125</v>
      </c>
      <c r="C100" s="20">
        <v>4.0000000000000001E-3</v>
      </c>
      <c r="D100" s="20">
        <f t="shared" si="5"/>
        <v>3.2000000000000001E-2</v>
      </c>
      <c r="E100" s="20">
        <f t="shared" si="6"/>
        <v>-29.897000433601878</v>
      </c>
      <c r="F100" s="16"/>
      <c r="G100" s="16"/>
      <c r="H100" s="16"/>
      <c r="I100" s="16"/>
      <c r="J100" s="16"/>
      <c r="K100" s="16"/>
      <c r="L100" s="16"/>
      <c r="M100" s="16"/>
    </row>
    <row r="101" spans="1:13" x14ac:dyDescent="0.3">
      <c r="A101" s="19">
        <v>11400</v>
      </c>
      <c r="B101" s="20">
        <v>0.125</v>
      </c>
      <c r="C101" s="20">
        <v>4.0000000000000001E-3</v>
      </c>
      <c r="D101" s="20">
        <f t="shared" si="5"/>
        <v>3.2000000000000001E-2</v>
      </c>
      <c r="E101" s="20">
        <f t="shared" si="6"/>
        <v>-29.897000433601878</v>
      </c>
      <c r="F101" s="16"/>
      <c r="G101" s="16"/>
      <c r="H101" s="16"/>
      <c r="I101" s="16"/>
      <c r="J101" s="16"/>
      <c r="K101" s="16"/>
      <c r="L101" s="16"/>
      <c r="M101" s="16"/>
    </row>
    <row r="102" spans="1:13" x14ac:dyDescent="0.3">
      <c r="A102" s="19">
        <v>11800</v>
      </c>
      <c r="B102" s="20">
        <v>0.125</v>
      </c>
      <c r="C102" s="20">
        <v>4.0000000000000001E-3</v>
      </c>
      <c r="D102" s="20">
        <f t="shared" si="5"/>
        <v>3.2000000000000001E-2</v>
      </c>
      <c r="E102" s="20">
        <f t="shared" si="6"/>
        <v>-29.897000433601878</v>
      </c>
      <c r="F102" s="16"/>
      <c r="G102" s="16"/>
      <c r="H102" s="16"/>
      <c r="I102" s="16"/>
      <c r="J102" s="16"/>
      <c r="K102" s="16"/>
      <c r="L102" s="16"/>
      <c r="M102" s="16"/>
    </row>
    <row r="103" spans="1:13" x14ac:dyDescent="0.3">
      <c r="A103" s="19">
        <v>12200</v>
      </c>
      <c r="B103" s="20">
        <v>0.125</v>
      </c>
      <c r="C103" s="20">
        <v>4.0000000000000001E-3</v>
      </c>
      <c r="D103" s="20">
        <f t="shared" si="5"/>
        <v>3.2000000000000001E-2</v>
      </c>
      <c r="E103" s="20">
        <f t="shared" si="6"/>
        <v>-29.897000433601878</v>
      </c>
      <c r="F103" s="16"/>
      <c r="G103" s="16"/>
      <c r="H103" s="16"/>
      <c r="I103" s="16"/>
      <c r="J103" s="16"/>
      <c r="K103" s="16"/>
      <c r="L103" s="16"/>
      <c r="M103" s="16"/>
    </row>
    <row r="104" spans="1:13" x14ac:dyDescent="0.3">
      <c r="A104" s="19">
        <v>12600</v>
      </c>
      <c r="B104" s="20">
        <v>0.125</v>
      </c>
      <c r="C104" s="20">
        <v>4.0000000000000001E-3</v>
      </c>
      <c r="D104" s="20">
        <f t="shared" si="5"/>
        <v>3.2000000000000001E-2</v>
      </c>
      <c r="E104" s="20">
        <f t="shared" si="6"/>
        <v>-29.897000433601878</v>
      </c>
      <c r="F104" s="16"/>
      <c r="G104" s="16"/>
      <c r="H104" s="16"/>
      <c r="I104" s="16"/>
      <c r="J104" s="16"/>
      <c r="K104" s="16"/>
      <c r="L104" s="16"/>
      <c r="M104" s="16"/>
    </row>
    <row r="105" spans="1:13" x14ac:dyDescent="0.3">
      <c r="A105" s="19">
        <v>13000</v>
      </c>
      <c r="B105" s="20">
        <v>0.125</v>
      </c>
      <c r="C105" s="20">
        <v>4.0000000000000001E-3</v>
      </c>
      <c r="D105" s="20">
        <f t="shared" si="5"/>
        <v>3.2000000000000001E-2</v>
      </c>
      <c r="E105" s="20">
        <f t="shared" si="6"/>
        <v>-29.897000433601878</v>
      </c>
      <c r="F105" s="16"/>
      <c r="G105" s="16"/>
      <c r="H105" s="16"/>
      <c r="I105" s="16"/>
      <c r="J105" s="16"/>
      <c r="K105" s="16"/>
      <c r="L105" s="16"/>
      <c r="M105" s="16"/>
    </row>
    <row r="106" spans="1:13" x14ac:dyDescent="0.3">
      <c r="A106" s="19">
        <v>13400</v>
      </c>
      <c r="B106" s="20">
        <v>0.125</v>
      </c>
      <c r="C106" s="20">
        <v>4.0000000000000001E-3</v>
      </c>
      <c r="D106" s="20">
        <f t="shared" si="5"/>
        <v>3.2000000000000001E-2</v>
      </c>
      <c r="E106" s="20">
        <f t="shared" si="6"/>
        <v>-29.897000433601878</v>
      </c>
      <c r="F106" s="16"/>
      <c r="G106" s="16"/>
      <c r="H106" s="16"/>
      <c r="I106" s="16"/>
      <c r="J106" s="16"/>
      <c r="K106" s="16"/>
      <c r="L106" s="16"/>
      <c r="M106" s="16"/>
    </row>
    <row r="107" spans="1:13" x14ac:dyDescent="0.3">
      <c r="A107" s="19">
        <v>13800</v>
      </c>
      <c r="B107" s="20">
        <v>0.125</v>
      </c>
      <c r="C107" s="20">
        <v>4.0000000000000001E-3</v>
      </c>
      <c r="D107" s="20">
        <f t="shared" si="5"/>
        <v>3.2000000000000001E-2</v>
      </c>
      <c r="E107" s="20">
        <f t="shared" si="6"/>
        <v>-29.897000433601878</v>
      </c>
      <c r="F107" s="16"/>
      <c r="G107" s="16"/>
      <c r="H107" s="16"/>
      <c r="I107" s="16"/>
      <c r="J107" s="16"/>
      <c r="K107" s="16"/>
      <c r="L107" s="16"/>
      <c r="M107" s="16"/>
    </row>
    <row r="108" spans="1:13" x14ac:dyDescent="0.3">
      <c r="A108" s="19">
        <v>14200</v>
      </c>
      <c r="B108" s="20">
        <v>0.125</v>
      </c>
      <c r="C108" s="20">
        <v>4.0000000000000001E-3</v>
      </c>
      <c r="D108" s="20">
        <f t="shared" si="5"/>
        <v>3.2000000000000001E-2</v>
      </c>
      <c r="E108" s="20">
        <f t="shared" si="6"/>
        <v>-29.897000433601878</v>
      </c>
      <c r="F108" s="16"/>
      <c r="G108" s="16"/>
      <c r="H108" s="16"/>
      <c r="I108" s="16"/>
      <c r="J108" s="16"/>
      <c r="K108" s="16"/>
      <c r="L108" s="16"/>
      <c r="M108" s="16"/>
    </row>
    <row r="109" spans="1:13" x14ac:dyDescent="0.3">
      <c r="A109" s="19">
        <v>14600</v>
      </c>
      <c r="B109" s="20">
        <v>0.125</v>
      </c>
      <c r="C109" s="20">
        <v>4.0000000000000001E-3</v>
      </c>
      <c r="D109" s="20">
        <f t="shared" si="5"/>
        <v>3.2000000000000001E-2</v>
      </c>
      <c r="E109" s="20">
        <f t="shared" si="6"/>
        <v>-29.897000433601878</v>
      </c>
      <c r="F109" s="16"/>
      <c r="G109" s="16"/>
      <c r="H109" s="16"/>
      <c r="I109" s="16"/>
      <c r="J109" s="16"/>
      <c r="K109" s="16"/>
      <c r="L109" s="16"/>
      <c r="M109" s="16"/>
    </row>
    <row r="110" spans="1:13" x14ac:dyDescent="0.3">
      <c r="A110" s="19">
        <v>15000</v>
      </c>
      <c r="B110" s="20">
        <v>0.125</v>
      </c>
      <c r="C110" s="20">
        <v>4.0000000000000001E-3</v>
      </c>
      <c r="D110" s="20">
        <f t="shared" si="5"/>
        <v>3.2000000000000001E-2</v>
      </c>
      <c r="E110" s="20">
        <f t="shared" si="6"/>
        <v>-29.897000433601878</v>
      </c>
      <c r="F110" s="16"/>
      <c r="G110" s="16"/>
      <c r="H110" s="16"/>
      <c r="I110" s="16"/>
      <c r="J110" s="16"/>
      <c r="K110" s="16"/>
      <c r="L110" s="16"/>
      <c r="M110" s="16"/>
    </row>
    <row r="112" spans="1:13" x14ac:dyDescent="0.3">
      <c r="C112" s="25"/>
      <c r="D112" s="25"/>
      <c r="E112" s="25"/>
    </row>
    <row r="113" spans="3:12" x14ac:dyDescent="0.3">
      <c r="C113" s="25"/>
      <c r="D113" s="25"/>
      <c r="E113" s="25"/>
      <c r="G113" t="s">
        <v>15</v>
      </c>
    </row>
    <row r="114" spans="3:12" x14ac:dyDescent="0.3">
      <c r="C114" s="25"/>
      <c r="D114" s="25"/>
      <c r="E114" s="25"/>
      <c r="G114" s="11" t="s">
        <v>16</v>
      </c>
      <c r="H114" s="11"/>
      <c r="I114" s="11"/>
      <c r="K114" s="14" t="s">
        <v>22</v>
      </c>
      <c r="L114" s="14" t="s">
        <v>23</v>
      </c>
    </row>
    <row r="115" spans="3:12" x14ac:dyDescent="0.3">
      <c r="C115" s="25"/>
      <c r="D115" s="25"/>
      <c r="E115" s="25"/>
      <c r="G115" s="11" t="s">
        <v>19</v>
      </c>
      <c r="H115" s="11"/>
      <c r="I115" s="11" t="s">
        <v>18</v>
      </c>
      <c r="K115" s="14">
        <f>0.35/I118</f>
        <v>522388.05970149249</v>
      </c>
      <c r="L115" s="14"/>
    </row>
    <row r="116" spans="3:12" x14ac:dyDescent="0.3">
      <c r="C116" s="25"/>
      <c r="D116" s="25"/>
      <c r="E116" s="25"/>
      <c r="G116" s="11" t="s">
        <v>17</v>
      </c>
      <c r="H116" s="11"/>
      <c r="I116" s="12" t="s">
        <v>20</v>
      </c>
    </row>
    <row r="117" spans="3:12" x14ac:dyDescent="0.3">
      <c r="C117" s="25"/>
      <c r="D117" s="25"/>
      <c r="E117" s="25"/>
      <c r="G117" s="11">
        <f>0.031-(0.1*0.031)</f>
        <v>2.7900000000000001E-2</v>
      </c>
      <c r="H117" s="11"/>
      <c r="I117" s="11">
        <f>-0.04+(0.04*0.1)</f>
        <v>-3.6000000000000004E-2</v>
      </c>
      <c r="K117" s="13" t="s">
        <v>24</v>
      </c>
      <c r="L117" s="13" t="s">
        <v>25</v>
      </c>
    </row>
    <row r="118" spans="3:12" x14ac:dyDescent="0.3">
      <c r="C118" s="25"/>
      <c r="D118" s="25"/>
      <c r="E118" s="25"/>
      <c r="G118" s="11" t="s">
        <v>33</v>
      </c>
      <c r="H118" s="11"/>
      <c r="I118" s="26">
        <v>6.7000000000000004E-7</v>
      </c>
      <c r="K118" s="13" t="s">
        <v>26</v>
      </c>
      <c r="L118" s="13"/>
    </row>
    <row r="119" spans="3:12" x14ac:dyDescent="0.3">
      <c r="C119" s="25"/>
      <c r="D119" s="25"/>
      <c r="E119" s="25"/>
      <c r="K119" s="13">
        <f>0.35/(92*10^-9)</f>
        <v>3804347.8260869561</v>
      </c>
      <c r="L119" s="13"/>
    </row>
    <row r="120" spans="3:12" x14ac:dyDescent="0.3">
      <c r="C120" s="25"/>
      <c r="D120" s="25"/>
      <c r="E120" s="25"/>
      <c r="G120" s="11" t="s">
        <v>21</v>
      </c>
      <c r="H120" s="11"/>
      <c r="I120" s="11"/>
    </row>
    <row r="121" spans="3:12" x14ac:dyDescent="0.3">
      <c r="C121" s="25"/>
      <c r="D121" s="25"/>
      <c r="E121" s="25"/>
      <c r="G121" s="11" t="s">
        <v>19</v>
      </c>
      <c r="H121" s="11"/>
      <c r="I121" s="11" t="s">
        <v>18</v>
      </c>
    </row>
    <row r="122" spans="3:12" x14ac:dyDescent="0.3">
      <c r="C122" s="25"/>
      <c r="D122" s="25"/>
      <c r="E122" s="25"/>
      <c r="G122" s="11" t="s">
        <v>17</v>
      </c>
      <c r="H122" s="11"/>
      <c r="I122" s="12" t="s">
        <v>20</v>
      </c>
      <c r="K122" s="23" t="s">
        <v>29</v>
      </c>
    </row>
    <row r="123" spans="3:12" x14ac:dyDescent="0.3">
      <c r="C123" s="25"/>
      <c r="D123" s="25"/>
      <c r="E123" s="25"/>
      <c r="G123" s="11">
        <f>0.031-(0.1*0.031)</f>
        <v>2.7900000000000001E-2</v>
      </c>
      <c r="H123" s="11"/>
      <c r="I123" s="11">
        <f>-0.04+(0.04*0.1)</f>
        <v>-3.6000000000000004E-2</v>
      </c>
      <c r="K123" s="23">
        <v>-3.786897E-3</v>
      </c>
    </row>
    <row r="124" spans="3:12" x14ac:dyDescent="0.3">
      <c r="C124" s="25"/>
      <c r="D124" s="25"/>
      <c r="E124" s="25"/>
      <c r="G124" s="11" t="s">
        <v>34</v>
      </c>
      <c r="H124" s="11"/>
      <c r="I124" s="26">
        <v>6.7000000000000004E-7</v>
      </c>
    </row>
    <row r="125" spans="3:12" x14ac:dyDescent="0.3">
      <c r="C125" s="25"/>
      <c r="D125" s="25"/>
      <c r="E125" s="25"/>
      <c r="K125" t="s">
        <v>7</v>
      </c>
    </row>
    <row r="132" spans="1:16" x14ac:dyDescent="0.3">
      <c r="A132" s="28"/>
      <c r="B132" s="28"/>
      <c r="C132" s="28"/>
      <c r="D132" s="28"/>
      <c r="E132" s="28"/>
      <c r="F132" s="28"/>
      <c r="G132" s="28" t="s">
        <v>49</v>
      </c>
      <c r="H132" s="28"/>
      <c r="I132" s="28" t="s">
        <v>50</v>
      </c>
      <c r="J132" s="28" t="s">
        <v>51</v>
      </c>
      <c r="K132" s="28" t="s">
        <v>83</v>
      </c>
      <c r="L132" s="28" t="s">
        <v>84</v>
      </c>
      <c r="M132" s="28" t="s">
        <v>85</v>
      </c>
      <c r="N132" s="28" t="s">
        <v>86</v>
      </c>
      <c r="O132" s="28"/>
      <c r="P132" s="28" t="s">
        <v>87</v>
      </c>
    </row>
    <row r="133" spans="1:16" x14ac:dyDescent="0.3">
      <c r="A133" s="28" t="s">
        <v>42</v>
      </c>
      <c r="B133" s="28"/>
      <c r="C133" s="28"/>
      <c r="D133" s="28"/>
      <c r="E133" s="28"/>
      <c r="F133" s="28" t="s">
        <v>45</v>
      </c>
      <c r="G133" s="28">
        <v>81</v>
      </c>
      <c r="H133" s="28"/>
      <c r="I133" s="28">
        <v>50</v>
      </c>
      <c r="J133" s="29">
        <f>(-0.00142)^2</f>
        <v>2.0164000000000003E-6</v>
      </c>
      <c r="K133" s="28">
        <f>(0.081^2)/(4*50)</f>
        <v>3.2805000000000002E-5</v>
      </c>
      <c r="L133" s="29">
        <f>K133/J133</f>
        <v>16.269093433842489</v>
      </c>
      <c r="M133" s="28">
        <f>0.35/(620*10^-9)</f>
        <v>564516.12903225806</v>
      </c>
      <c r="N133" s="29">
        <f>M133*LOG((1+L133),2)</f>
        <v>2320229.2825471242</v>
      </c>
      <c r="O133" s="29"/>
      <c r="P133" s="28">
        <f>0.081/(2*0.001043834)</f>
        <v>38.799272681288407</v>
      </c>
    </row>
    <row r="134" spans="1:16" x14ac:dyDescent="0.3">
      <c r="A134" s="28" t="s">
        <v>35</v>
      </c>
      <c r="B134" s="28" t="s">
        <v>37</v>
      </c>
      <c r="C134" s="28" t="s">
        <v>38</v>
      </c>
      <c r="D134" s="28"/>
      <c r="E134" s="28" t="s">
        <v>48</v>
      </c>
      <c r="F134" s="28">
        <v>364</v>
      </c>
      <c r="G134" s="28"/>
      <c r="H134" s="28"/>
      <c r="I134" s="28"/>
      <c r="J134" s="28"/>
      <c r="K134" s="28"/>
      <c r="L134" s="28"/>
      <c r="M134" s="28"/>
      <c r="N134" s="28"/>
      <c r="O134" s="28"/>
      <c r="P134" s="28"/>
    </row>
    <row r="135" spans="1:16" x14ac:dyDescent="0.3">
      <c r="A135" s="28" t="s">
        <v>39</v>
      </c>
      <c r="B135" s="28" t="s">
        <v>36</v>
      </c>
      <c r="C135" s="28">
        <v>0.89</v>
      </c>
      <c r="D135" s="28"/>
      <c r="E135" s="28" t="s">
        <v>47</v>
      </c>
      <c r="F135" s="28">
        <v>430</v>
      </c>
      <c r="G135" s="28"/>
      <c r="H135" s="28"/>
      <c r="I135" s="28"/>
      <c r="J135" s="28"/>
      <c r="K135" s="28"/>
      <c r="L135" s="28"/>
      <c r="M135" s="28"/>
      <c r="N135" s="28"/>
      <c r="O135" s="28"/>
      <c r="P135" s="28"/>
    </row>
    <row r="136" spans="1:16" x14ac:dyDescent="0.3">
      <c r="A136" s="28" t="s">
        <v>40</v>
      </c>
      <c r="B136" s="28" t="s">
        <v>41</v>
      </c>
      <c r="C136" s="28">
        <v>0.89</v>
      </c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</row>
    <row r="137" spans="1:16" x14ac:dyDescent="0.3">
      <c r="A137" s="28" t="s">
        <v>46</v>
      </c>
      <c r="B137" s="28" t="s">
        <v>43</v>
      </c>
      <c r="C137" s="28" t="s">
        <v>44</v>
      </c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</row>
    <row r="138" spans="1:16" x14ac:dyDescent="0.3">
      <c r="A138" s="28" t="s">
        <v>52</v>
      </c>
      <c r="B138" s="28" t="s">
        <v>53</v>
      </c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</row>
    <row r="140" spans="1:16" x14ac:dyDescent="0.3">
      <c r="A140" s="30" t="s">
        <v>54</v>
      </c>
      <c r="B140" s="30"/>
      <c r="C140" s="30"/>
      <c r="D140" s="30"/>
      <c r="E140" s="30" t="s">
        <v>59</v>
      </c>
      <c r="F140" s="30" t="s">
        <v>60</v>
      </c>
      <c r="G140" s="30" t="s">
        <v>49</v>
      </c>
      <c r="H140" s="30"/>
      <c r="I140" s="30" t="s">
        <v>50</v>
      </c>
      <c r="J140" s="30" t="s">
        <v>63</v>
      </c>
      <c r="K140" s="30"/>
      <c r="L140" s="30"/>
      <c r="M140" s="30"/>
      <c r="N140" s="30"/>
      <c r="O140" s="30"/>
      <c r="P140" s="30"/>
    </row>
    <row r="141" spans="1:16" x14ac:dyDescent="0.3">
      <c r="A141" s="30"/>
      <c r="B141" s="30"/>
      <c r="C141" s="30" t="s">
        <v>56</v>
      </c>
      <c r="D141" s="30"/>
      <c r="E141" s="30" t="s">
        <v>61</v>
      </c>
      <c r="F141" s="30">
        <v>470</v>
      </c>
      <c r="G141" s="30">
        <v>160</v>
      </c>
      <c r="H141" s="30"/>
      <c r="I141" s="30">
        <v>50</v>
      </c>
      <c r="J141" s="31">
        <f>(-0.00142)^2</f>
        <v>2.0164000000000003E-6</v>
      </c>
      <c r="K141" s="30">
        <f>(0.16^2)/(4*50)</f>
        <v>1.2799999999999999E-4</v>
      </c>
      <c r="L141" s="31">
        <f>K141/J141</f>
        <v>63.479468359452476</v>
      </c>
      <c r="M141" s="30">
        <f>0.35/(530*10^-9)</f>
        <v>660377.35849056602</v>
      </c>
      <c r="N141" s="31">
        <f>M141*LOG((1+L141),2)</f>
        <v>3969375.0571059911</v>
      </c>
      <c r="O141" s="31"/>
      <c r="P141" s="30">
        <f>0.16/(2*0.001043834)</f>
        <v>76.640538629705489</v>
      </c>
    </row>
    <row r="142" spans="1:16" x14ac:dyDescent="0.3">
      <c r="A142" s="30" t="s">
        <v>55</v>
      </c>
      <c r="B142" s="30" t="s">
        <v>41</v>
      </c>
      <c r="C142" s="30">
        <v>159</v>
      </c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</row>
    <row r="143" spans="1:16" x14ac:dyDescent="0.3">
      <c r="A143" s="30" t="s">
        <v>57</v>
      </c>
      <c r="B143" s="30" t="s">
        <v>36</v>
      </c>
      <c r="C143" s="30">
        <v>159</v>
      </c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</row>
    <row r="144" spans="1:16" x14ac:dyDescent="0.3">
      <c r="A144" s="30" t="s">
        <v>58</v>
      </c>
      <c r="B144" s="30" t="s">
        <v>43</v>
      </c>
      <c r="C144" s="30" t="s">
        <v>44</v>
      </c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</row>
    <row r="145" spans="1:16" x14ac:dyDescent="0.3">
      <c r="A145" s="30" t="s">
        <v>64</v>
      </c>
      <c r="B145" s="30" t="s">
        <v>65</v>
      </c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</row>
    <row r="149" spans="1:16" x14ac:dyDescent="0.3">
      <c r="A149" s="32"/>
      <c r="B149" s="32"/>
      <c r="C149" s="32"/>
      <c r="D149" s="32"/>
      <c r="E149" s="32"/>
    </row>
    <row r="150" spans="1:16" x14ac:dyDescent="0.3">
      <c r="A150" s="32" t="s">
        <v>62</v>
      </c>
      <c r="B150" s="32"/>
      <c r="C150" s="32"/>
      <c r="D150" s="32"/>
      <c r="E150" s="32"/>
    </row>
    <row r="151" spans="1:16" x14ac:dyDescent="0.3">
      <c r="A151" s="32"/>
      <c r="B151" s="32"/>
      <c r="C151" s="32"/>
      <c r="D151" s="32"/>
      <c r="E151" s="32"/>
    </row>
    <row r="152" spans="1:16" x14ac:dyDescent="0.3">
      <c r="A152" s="32"/>
      <c r="B152" s="32"/>
      <c r="C152" s="32"/>
      <c r="D152" s="32"/>
      <c r="E152" s="32"/>
    </row>
    <row r="153" spans="1:16" x14ac:dyDescent="0.3">
      <c r="A153" s="32"/>
      <c r="B153" s="32"/>
      <c r="C153" s="32"/>
      <c r="D153" s="32"/>
      <c r="E153" s="32"/>
    </row>
    <row r="154" spans="1:16" x14ac:dyDescent="0.3">
      <c r="A154" s="32" t="s">
        <v>66</v>
      </c>
      <c r="B154" s="32"/>
      <c r="C154" s="32"/>
      <c r="D154" s="32"/>
      <c r="E154" s="32"/>
    </row>
    <row r="155" spans="1:16" x14ac:dyDescent="0.3">
      <c r="A155" s="32" t="s">
        <v>67</v>
      </c>
      <c r="B155" s="32" t="s">
        <v>41</v>
      </c>
      <c r="C155" s="32">
        <v>159</v>
      </c>
      <c r="D155" s="32"/>
      <c r="E155" s="32"/>
    </row>
    <row r="156" spans="1:16" x14ac:dyDescent="0.3">
      <c r="A156" s="32" t="s">
        <v>69</v>
      </c>
      <c r="B156" s="32" t="s">
        <v>36</v>
      </c>
      <c r="C156" s="32"/>
      <c r="D156" s="32"/>
      <c r="E156" s="32"/>
    </row>
    <row r="157" spans="1:16" x14ac:dyDescent="0.3">
      <c r="A157" s="32" t="s">
        <v>68</v>
      </c>
      <c r="B157" s="32" t="s">
        <v>70</v>
      </c>
      <c r="C157" s="32">
        <v>159</v>
      </c>
      <c r="D157" s="32" t="s">
        <v>71</v>
      </c>
      <c r="E157" s="32"/>
    </row>
    <row r="158" spans="1:16" x14ac:dyDescent="0.3">
      <c r="A158" s="32" t="s">
        <v>72</v>
      </c>
      <c r="B158" s="32" t="s">
        <v>41</v>
      </c>
      <c r="C158" s="32">
        <v>159</v>
      </c>
      <c r="D158" s="32" t="s">
        <v>71</v>
      </c>
      <c r="E158" s="32"/>
    </row>
    <row r="159" spans="1:16" x14ac:dyDescent="0.3">
      <c r="A159" s="32" t="s">
        <v>73</v>
      </c>
      <c r="B159" s="32" t="s">
        <v>41</v>
      </c>
      <c r="C159" s="32">
        <v>89</v>
      </c>
      <c r="D159" s="32" t="s">
        <v>74</v>
      </c>
      <c r="E159" s="32"/>
    </row>
    <row r="160" spans="1:16" x14ac:dyDescent="0.3">
      <c r="A160" s="32" t="s">
        <v>75</v>
      </c>
      <c r="B160" s="32" t="s">
        <v>36</v>
      </c>
      <c r="C160" s="32">
        <v>89</v>
      </c>
      <c r="D160" s="32">
        <v>60</v>
      </c>
      <c r="E160" s="32" t="s">
        <v>76</v>
      </c>
    </row>
    <row r="161" spans="1:9" x14ac:dyDescent="0.3">
      <c r="A161" s="32" t="s">
        <v>77</v>
      </c>
      <c r="B161" s="32" t="s">
        <v>36</v>
      </c>
      <c r="C161" s="32">
        <v>89</v>
      </c>
      <c r="D161" s="32">
        <v>60</v>
      </c>
      <c r="E161" s="32"/>
    </row>
    <row r="162" spans="1:9" x14ac:dyDescent="0.3">
      <c r="A162" s="32" t="s">
        <v>79</v>
      </c>
      <c r="B162" s="32" t="s">
        <v>36</v>
      </c>
      <c r="C162" s="32">
        <v>89</v>
      </c>
      <c r="D162" s="32"/>
      <c r="E162" s="32" t="s">
        <v>78</v>
      </c>
    </row>
    <row r="163" spans="1:9" x14ac:dyDescent="0.3">
      <c r="A163" s="32" t="s">
        <v>80</v>
      </c>
      <c r="B163" s="32" t="s">
        <v>41</v>
      </c>
      <c r="C163" s="32">
        <v>89</v>
      </c>
      <c r="D163" s="32" t="s">
        <v>81</v>
      </c>
      <c r="E163" s="32"/>
    </row>
    <row r="164" spans="1:9" x14ac:dyDescent="0.3">
      <c r="A164" s="32" t="s">
        <v>82</v>
      </c>
      <c r="B164" s="32" t="s">
        <v>41</v>
      </c>
      <c r="C164" s="32">
        <v>89</v>
      </c>
      <c r="D164" s="32" t="s">
        <v>81</v>
      </c>
      <c r="E164" s="32"/>
    </row>
    <row r="166" spans="1:9" x14ac:dyDescent="0.3">
      <c r="F166" s="35" t="s">
        <v>111</v>
      </c>
      <c r="G166" s="36" t="s">
        <v>122</v>
      </c>
      <c r="H166" s="35" t="s">
        <v>107</v>
      </c>
      <c r="I166" s="35" t="s">
        <v>108</v>
      </c>
    </row>
    <row r="167" spans="1:9" x14ac:dyDescent="0.3">
      <c r="F167" s="39">
        <v>100</v>
      </c>
      <c r="G167" s="40">
        <v>8.1000000000000003E-2</v>
      </c>
      <c r="H167" s="39">
        <v>360</v>
      </c>
      <c r="I167" s="39">
        <v>430</v>
      </c>
    </row>
    <row r="168" spans="1:9" x14ac:dyDescent="0.3">
      <c r="F168" s="37" t="s">
        <v>28</v>
      </c>
      <c r="G168" s="37" t="s">
        <v>113</v>
      </c>
      <c r="H168" s="37" t="s">
        <v>110</v>
      </c>
      <c r="I168" s="37" t="s">
        <v>109</v>
      </c>
    </row>
    <row r="169" spans="1:9" x14ac:dyDescent="0.3">
      <c r="F169" s="41">
        <v>50</v>
      </c>
      <c r="G169" s="42">
        <v>1.4907239999999999E-3</v>
      </c>
      <c r="H169" s="41">
        <f>(G167^2)/(4*50)</f>
        <v>3.2805000000000002E-5</v>
      </c>
      <c r="I169" s="43">
        <f>H169/(G169^2)</f>
        <v>14.7620120381492</v>
      </c>
    </row>
    <row r="170" spans="1:9" x14ac:dyDescent="0.3">
      <c r="F170" s="38" t="s">
        <v>120</v>
      </c>
      <c r="G170" s="38" t="s">
        <v>121</v>
      </c>
      <c r="H170" s="38" t="s">
        <v>112</v>
      </c>
      <c r="I170" s="38" t="s">
        <v>114</v>
      </c>
    </row>
    <row r="171" spans="1:9" x14ac:dyDescent="0.3">
      <c r="F171" s="44">
        <f>0.35/(H167*10^-9)</f>
        <v>972222.22222222202</v>
      </c>
      <c r="G171" s="44">
        <f>4.1*10^6</f>
        <v>4099999.9999999995</v>
      </c>
      <c r="H171" s="45">
        <f>G171*LOG((1+I169),2)</f>
        <v>16311357.192478146</v>
      </c>
      <c r="I171" s="46">
        <f>G167/(2*G169)</f>
        <v>27.168006955009783</v>
      </c>
    </row>
    <row r="174" spans="1:9" x14ac:dyDescent="0.3">
      <c r="F174" t="s">
        <v>123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4DBB0-83EC-4043-8FF1-0E8FEA2DD43E}">
  <dimension ref="A2:G2002"/>
  <sheetViews>
    <sheetView workbookViewId="0">
      <selection activeCell="N5" sqref="N5"/>
    </sheetView>
  </sheetViews>
  <sheetFormatPr defaultRowHeight="14.4" x14ac:dyDescent="0.3"/>
  <cols>
    <col min="3" max="3" width="9.21875" bestFit="1" customWidth="1"/>
    <col min="7" max="7" width="12" bestFit="1" customWidth="1"/>
  </cols>
  <sheetData>
    <row r="2" spans="1:3" x14ac:dyDescent="0.3">
      <c r="A2" t="s">
        <v>116</v>
      </c>
      <c r="B2" t="s">
        <v>115</v>
      </c>
      <c r="C2" t="s">
        <v>117</v>
      </c>
    </row>
    <row r="3" spans="1:3" x14ac:dyDescent="0.3">
      <c r="A3" s="22">
        <v>-5.7899999999999996E-6</v>
      </c>
      <c r="B3" s="22">
        <v>-7.52512569E-4</v>
      </c>
      <c r="C3" s="22">
        <f>B3*10^3</f>
        <v>-0.75251256899999996</v>
      </c>
    </row>
    <row r="4" spans="1:3" x14ac:dyDescent="0.3">
      <c r="A4" s="22">
        <v>-5.7849999999999997E-6</v>
      </c>
      <c r="B4" s="22">
        <v>-6.5201005800000005E-4</v>
      </c>
      <c r="C4" s="22">
        <f t="shared" ref="C4:C67" si="0">B4*10^3</f>
        <v>-0.652010058</v>
      </c>
    </row>
    <row r="5" spans="1:3" x14ac:dyDescent="0.3">
      <c r="A5" s="22">
        <v>-5.7799999999999997E-6</v>
      </c>
      <c r="B5" s="22">
        <v>-1.7575376840000001E-3</v>
      </c>
      <c r="C5" s="22">
        <f t="shared" si="0"/>
        <v>-1.7575376840000001</v>
      </c>
    </row>
    <row r="6" spans="1:3" x14ac:dyDescent="0.3">
      <c r="A6" s="22">
        <v>-5.7749999999999998E-6</v>
      </c>
      <c r="B6" s="22">
        <v>-1.958542707E-3</v>
      </c>
      <c r="C6" s="22">
        <f t="shared" si="0"/>
        <v>-1.9585427069999999</v>
      </c>
    </row>
    <row r="7" spans="1:3" x14ac:dyDescent="0.3">
      <c r="A7" s="22">
        <v>-5.7699999999999998E-6</v>
      </c>
      <c r="B7" s="22">
        <v>-1.958542707E-3</v>
      </c>
      <c r="C7" s="22">
        <f t="shared" si="0"/>
        <v>-1.9585427069999999</v>
      </c>
    </row>
    <row r="8" spans="1:3" x14ac:dyDescent="0.3">
      <c r="A8" s="22">
        <v>-5.7649999999999999E-6</v>
      </c>
      <c r="B8" s="22">
        <v>-2.2600502419999999E-3</v>
      </c>
      <c r="C8" s="22">
        <f t="shared" si="0"/>
        <v>-2.2600502419999997</v>
      </c>
    </row>
    <row r="9" spans="1:3" x14ac:dyDescent="0.3">
      <c r="A9" s="22">
        <v>-5.7599999999999999E-6</v>
      </c>
      <c r="B9" s="22">
        <v>-2.6620602880000001E-3</v>
      </c>
      <c r="C9" s="22">
        <f t="shared" si="0"/>
        <v>-2.6620602880000002</v>
      </c>
    </row>
    <row r="10" spans="1:3" x14ac:dyDescent="0.3">
      <c r="A10" s="22">
        <v>-5.755E-6</v>
      </c>
      <c r="B10" s="22">
        <v>-1.556532661E-3</v>
      </c>
      <c r="C10" s="22">
        <f t="shared" si="0"/>
        <v>-1.5565326609999999</v>
      </c>
    </row>
    <row r="11" spans="1:3" x14ac:dyDescent="0.3">
      <c r="A11" s="22">
        <v>-5.75E-6</v>
      </c>
      <c r="B11" s="22">
        <v>-2.2600502419999999E-3</v>
      </c>
      <c r="C11" s="22">
        <f t="shared" si="0"/>
        <v>-2.2600502419999997</v>
      </c>
    </row>
    <row r="12" spans="1:3" x14ac:dyDescent="0.3">
      <c r="A12" s="22">
        <v>-5.7450000000000001E-6</v>
      </c>
      <c r="B12" s="22">
        <v>-1.4560301499999999E-3</v>
      </c>
      <c r="C12" s="22">
        <f t="shared" si="0"/>
        <v>-1.4560301499999999</v>
      </c>
    </row>
    <row r="13" spans="1:3" x14ac:dyDescent="0.3">
      <c r="A13" s="22">
        <v>-5.7400000000000001E-6</v>
      </c>
      <c r="B13" s="22">
        <v>-1.556532661E-3</v>
      </c>
      <c r="C13" s="22">
        <f t="shared" si="0"/>
        <v>-1.5565326609999999</v>
      </c>
    </row>
    <row r="14" spans="1:3" x14ac:dyDescent="0.3">
      <c r="A14" s="22">
        <v>-5.7350000000000001E-6</v>
      </c>
      <c r="B14" s="22">
        <v>-2.1595477300000001E-3</v>
      </c>
      <c r="C14" s="22">
        <f t="shared" si="0"/>
        <v>-2.1595477299999999</v>
      </c>
    </row>
    <row r="15" spans="1:3" x14ac:dyDescent="0.3">
      <c r="A15" s="22">
        <v>-5.7300000000000002E-6</v>
      </c>
      <c r="B15" s="22">
        <v>-1.0540201039999999E-3</v>
      </c>
      <c r="C15" s="22">
        <f t="shared" si="0"/>
        <v>-1.0540201039999999</v>
      </c>
    </row>
    <row r="16" spans="1:3" x14ac:dyDescent="0.3">
      <c r="A16" s="22">
        <v>-5.7250000000000002E-6</v>
      </c>
      <c r="B16" s="22">
        <v>-1.3555276380000001E-3</v>
      </c>
      <c r="C16" s="22">
        <f t="shared" si="0"/>
        <v>-1.3555276380000001</v>
      </c>
    </row>
    <row r="17" spans="1:7" x14ac:dyDescent="0.3">
      <c r="A17" s="22">
        <v>-5.7200000000000003E-6</v>
      </c>
      <c r="B17" s="22">
        <v>-1.0540201039999999E-3</v>
      </c>
      <c r="C17" s="22">
        <f t="shared" si="0"/>
        <v>-1.0540201039999999</v>
      </c>
    </row>
    <row r="18" spans="1:7" x14ac:dyDescent="0.3">
      <c r="A18" s="22">
        <v>-5.7150000000000003E-6</v>
      </c>
      <c r="B18" s="22">
        <v>-1.0540201039999999E-3</v>
      </c>
      <c r="C18" s="22">
        <f t="shared" si="0"/>
        <v>-1.0540201039999999</v>
      </c>
    </row>
    <row r="19" spans="1:7" x14ac:dyDescent="0.3">
      <c r="A19" s="22">
        <v>-5.7100000000000004E-6</v>
      </c>
      <c r="B19" s="22">
        <v>-1.8580401959999999E-3</v>
      </c>
      <c r="C19" s="22">
        <f t="shared" si="0"/>
        <v>-1.8580401959999999</v>
      </c>
      <c r="E19" t="s">
        <v>118</v>
      </c>
      <c r="G19" t="s">
        <v>119</v>
      </c>
    </row>
    <row r="20" spans="1:7" x14ac:dyDescent="0.3">
      <c r="A20" s="22">
        <v>-5.7049999999999996E-6</v>
      </c>
      <c r="B20" s="22">
        <v>-1.8580401959999999E-3</v>
      </c>
      <c r="C20" s="22">
        <f t="shared" si="0"/>
        <v>-1.8580401959999999</v>
      </c>
      <c r="E20">
        <f>_xlfn.STDEV.P(B3:B2001)</f>
        <v>1.490723679085684E-3</v>
      </c>
      <c r="G20">
        <f>_xlfn.VAR.P(B3:B2001)</f>
        <v>2.2222570873867575E-6</v>
      </c>
    </row>
    <row r="21" spans="1:7" x14ac:dyDescent="0.3">
      <c r="A21" s="22">
        <v>-5.6999999999999996E-6</v>
      </c>
      <c r="B21" s="22">
        <v>-1.958542707E-3</v>
      </c>
      <c r="C21" s="22">
        <f t="shared" si="0"/>
        <v>-1.9585427069999999</v>
      </c>
      <c r="E21">
        <f>_xlfn.STDEV.S(B3:B2001)</f>
        <v>1.4910966863926818E-3</v>
      </c>
      <c r="G21">
        <f>_xlfn.VAR.S(B3:B2001)</f>
        <v>2.2233693281712352E-6</v>
      </c>
    </row>
    <row r="22" spans="1:7" x14ac:dyDescent="0.3">
      <c r="A22" s="22">
        <v>-5.6949999999999997E-6</v>
      </c>
      <c r="B22" s="22">
        <v>-2.3605527530000002E-3</v>
      </c>
      <c r="C22" s="22">
        <f t="shared" si="0"/>
        <v>-2.3605527530000003</v>
      </c>
    </row>
    <row r="23" spans="1:7" x14ac:dyDescent="0.3">
      <c r="A23" s="22">
        <v>-5.6899999999999997E-6</v>
      </c>
      <c r="B23" s="22">
        <v>-1.958542707E-3</v>
      </c>
      <c r="C23" s="22">
        <f t="shared" si="0"/>
        <v>-1.9585427069999999</v>
      </c>
    </row>
    <row r="24" spans="1:7" x14ac:dyDescent="0.3">
      <c r="A24" s="22">
        <v>-5.6849999999999998E-6</v>
      </c>
      <c r="B24" s="22">
        <v>-2.1595477300000001E-3</v>
      </c>
      <c r="C24" s="22">
        <f t="shared" si="0"/>
        <v>-2.1595477299999999</v>
      </c>
    </row>
    <row r="25" spans="1:7" x14ac:dyDescent="0.3">
      <c r="A25" s="22">
        <v>-5.6799999999999998E-6</v>
      </c>
      <c r="B25" s="22">
        <v>-2.2600502419999999E-3</v>
      </c>
      <c r="C25" s="22">
        <f t="shared" si="0"/>
        <v>-2.2600502419999997</v>
      </c>
    </row>
    <row r="26" spans="1:7" x14ac:dyDescent="0.3">
      <c r="A26" s="22">
        <v>-5.6749999999999999E-6</v>
      </c>
      <c r="B26" s="22">
        <v>-1.556532661E-3</v>
      </c>
      <c r="C26" s="22">
        <f t="shared" si="0"/>
        <v>-1.5565326609999999</v>
      </c>
    </row>
    <row r="27" spans="1:7" x14ac:dyDescent="0.3">
      <c r="A27" s="22">
        <v>-5.6699999999999999E-6</v>
      </c>
      <c r="B27" s="22">
        <v>-6.5201005800000005E-4</v>
      </c>
      <c r="C27" s="22">
        <f t="shared" si="0"/>
        <v>-0.652010058</v>
      </c>
    </row>
    <row r="28" spans="1:7" x14ac:dyDescent="0.3">
      <c r="A28" s="22">
        <v>-5.665E-6</v>
      </c>
      <c r="B28" s="22">
        <v>5.1507522999999997E-5</v>
      </c>
      <c r="C28" s="22">
        <f t="shared" si="0"/>
        <v>5.1507523E-2</v>
      </c>
    </row>
    <row r="29" spans="1:7" x14ac:dyDescent="0.3">
      <c r="A29" s="22">
        <v>-5.66E-6</v>
      </c>
      <c r="B29" s="22">
        <v>-2.5000001200000001E-4</v>
      </c>
      <c r="C29" s="22">
        <f t="shared" si="0"/>
        <v>-0.25000001199999999</v>
      </c>
    </row>
    <row r="30" spans="1:7" x14ac:dyDescent="0.3">
      <c r="A30" s="22">
        <v>-5.6550000000000001E-6</v>
      </c>
      <c r="B30" s="22">
        <v>-2.5000001200000001E-4</v>
      </c>
      <c r="C30" s="22">
        <f t="shared" si="0"/>
        <v>-0.25000001199999999</v>
      </c>
    </row>
    <row r="31" spans="1:7" x14ac:dyDescent="0.3">
      <c r="A31" s="22">
        <v>-5.6500000000000001E-6</v>
      </c>
      <c r="B31" s="22">
        <v>-2.5000001200000001E-4</v>
      </c>
      <c r="C31" s="22">
        <f t="shared" si="0"/>
        <v>-0.25000001199999999</v>
      </c>
    </row>
    <row r="32" spans="1:7" x14ac:dyDescent="0.3">
      <c r="A32" s="22">
        <v>-5.6450000000000002E-6</v>
      </c>
      <c r="B32" s="22">
        <v>5.1507522999999997E-5</v>
      </c>
      <c r="C32" s="22">
        <f t="shared" si="0"/>
        <v>5.1507523E-2</v>
      </c>
    </row>
    <row r="33" spans="1:3" x14ac:dyDescent="0.3">
      <c r="A33" s="22">
        <v>-5.6400000000000002E-6</v>
      </c>
      <c r="B33" s="22">
        <v>-6.5201005800000005E-4</v>
      </c>
      <c r="C33" s="22">
        <f t="shared" si="0"/>
        <v>-0.652010058</v>
      </c>
    </row>
    <row r="34" spans="1:3" x14ac:dyDescent="0.3">
      <c r="A34" s="22">
        <v>-5.6350000000000003E-6</v>
      </c>
      <c r="B34" s="22">
        <v>-6.5201005800000005E-4</v>
      </c>
      <c r="C34" s="22">
        <f t="shared" si="0"/>
        <v>-0.652010058</v>
      </c>
    </row>
    <row r="35" spans="1:3" x14ac:dyDescent="0.3">
      <c r="A35" s="22">
        <v>-5.6300000000000003E-6</v>
      </c>
      <c r="B35" s="22">
        <v>-8.5301508100000005E-4</v>
      </c>
      <c r="C35" s="22">
        <f t="shared" si="0"/>
        <v>-0.85301508100000001</v>
      </c>
    </row>
    <row r="36" spans="1:3" x14ac:dyDescent="0.3">
      <c r="A36" s="22">
        <v>-5.6250000000000004E-6</v>
      </c>
      <c r="B36" s="22">
        <v>-1.4560301499999999E-3</v>
      </c>
      <c r="C36" s="22">
        <f t="shared" si="0"/>
        <v>-1.4560301499999999</v>
      </c>
    </row>
    <row r="37" spans="1:3" x14ac:dyDescent="0.3">
      <c r="A37" s="22">
        <v>-5.6200000000000004E-6</v>
      </c>
      <c r="B37" s="22">
        <v>-1.958542707E-3</v>
      </c>
      <c r="C37" s="22">
        <f t="shared" si="0"/>
        <v>-1.9585427069999999</v>
      </c>
    </row>
    <row r="38" spans="1:3" x14ac:dyDescent="0.3">
      <c r="A38" s="22">
        <v>-5.6149999999999996E-6</v>
      </c>
      <c r="B38" s="22">
        <v>-1.7575376840000001E-3</v>
      </c>
      <c r="C38" s="22">
        <f t="shared" si="0"/>
        <v>-1.7575376840000001</v>
      </c>
    </row>
    <row r="39" spans="1:3" x14ac:dyDescent="0.3">
      <c r="A39" s="22">
        <v>-5.6099999999999997E-6</v>
      </c>
      <c r="B39" s="22">
        <v>-2.2600502419999999E-3</v>
      </c>
      <c r="C39" s="22">
        <f t="shared" si="0"/>
        <v>-2.2600502419999997</v>
      </c>
    </row>
    <row r="40" spans="1:3" x14ac:dyDescent="0.3">
      <c r="A40" s="22">
        <v>-5.6049999999999997E-6</v>
      </c>
      <c r="B40" s="22">
        <v>-1.3555276380000001E-3</v>
      </c>
      <c r="C40" s="22">
        <f t="shared" si="0"/>
        <v>-1.3555276380000001</v>
      </c>
    </row>
    <row r="41" spans="1:3" x14ac:dyDescent="0.3">
      <c r="A41" s="22">
        <v>-5.5999999999999997E-6</v>
      </c>
      <c r="B41" s="22">
        <v>-9.5351759199999999E-4</v>
      </c>
      <c r="C41" s="22">
        <f t="shared" si="0"/>
        <v>-0.95351759199999997</v>
      </c>
    </row>
    <row r="42" spans="1:3" x14ac:dyDescent="0.3">
      <c r="A42" s="22">
        <v>-5.5949999999999998E-6</v>
      </c>
      <c r="B42" s="22">
        <v>-1.556532661E-3</v>
      </c>
      <c r="C42" s="22">
        <f t="shared" si="0"/>
        <v>-1.5565326609999999</v>
      </c>
    </row>
    <row r="43" spans="1:3" x14ac:dyDescent="0.3">
      <c r="A43" s="22">
        <v>-5.5899999999999998E-6</v>
      </c>
      <c r="B43" s="22">
        <v>-1.8580401959999999E-3</v>
      </c>
      <c r="C43" s="22">
        <f t="shared" si="0"/>
        <v>-1.8580401959999999</v>
      </c>
    </row>
    <row r="44" spans="1:3" x14ac:dyDescent="0.3">
      <c r="A44" s="22">
        <v>-5.5849999999999999E-6</v>
      </c>
      <c r="B44" s="22">
        <v>-1.4560301499999999E-3</v>
      </c>
      <c r="C44" s="22">
        <f t="shared" si="0"/>
        <v>-1.4560301499999999</v>
      </c>
    </row>
    <row r="45" spans="1:3" x14ac:dyDescent="0.3">
      <c r="A45" s="22">
        <v>-5.5799999999999999E-6</v>
      </c>
      <c r="B45" s="22">
        <v>-2.3605527530000002E-3</v>
      </c>
      <c r="C45" s="22">
        <f t="shared" si="0"/>
        <v>-2.3605527530000003</v>
      </c>
    </row>
    <row r="46" spans="1:3" x14ac:dyDescent="0.3">
      <c r="A46" s="22">
        <v>-5.575E-6</v>
      </c>
      <c r="B46" s="22">
        <v>-2.2600502419999999E-3</v>
      </c>
      <c r="C46" s="22">
        <f t="shared" si="0"/>
        <v>-2.2600502419999997</v>
      </c>
    </row>
    <row r="47" spans="1:3" x14ac:dyDescent="0.3">
      <c r="A47" s="22">
        <v>-5.57E-6</v>
      </c>
      <c r="B47" s="22">
        <v>-2.461055265E-3</v>
      </c>
      <c r="C47" s="22">
        <f t="shared" si="0"/>
        <v>-2.4610552650000002</v>
      </c>
    </row>
    <row r="48" spans="1:3" x14ac:dyDescent="0.3">
      <c r="A48" s="22">
        <v>-5.5650000000000001E-6</v>
      </c>
      <c r="B48" s="22">
        <v>-3.0640703329999999E-3</v>
      </c>
      <c r="C48" s="22">
        <f t="shared" si="0"/>
        <v>-3.0640703330000001</v>
      </c>
    </row>
    <row r="49" spans="1:3" x14ac:dyDescent="0.3">
      <c r="A49" s="22">
        <v>-5.5600000000000001E-6</v>
      </c>
      <c r="B49" s="22">
        <v>-2.7625627989999999E-3</v>
      </c>
      <c r="C49" s="22">
        <f t="shared" si="0"/>
        <v>-2.7625627989999999</v>
      </c>
    </row>
    <row r="50" spans="1:3" x14ac:dyDescent="0.3">
      <c r="A50" s="22">
        <v>-5.5550000000000002E-6</v>
      </c>
      <c r="B50" s="22">
        <v>-2.7625627989999999E-3</v>
      </c>
      <c r="C50" s="22">
        <f t="shared" si="0"/>
        <v>-2.7625627989999999</v>
      </c>
    </row>
    <row r="51" spans="1:3" x14ac:dyDescent="0.3">
      <c r="A51" s="22">
        <v>-5.5500000000000002E-6</v>
      </c>
      <c r="B51" s="22">
        <v>-3.767587914E-3</v>
      </c>
      <c r="C51" s="22">
        <f t="shared" si="0"/>
        <v>-3.7675879139999999</v>
      </c>
    </row>
    <row r="52" spans="1:3" x14ac:dyDescent="0.3">
      <c r="A52" s="22">
        <v>-5.5450000000000003E-6</v>
      </c>
      <c r="B52" s="22">
        <v>-4.2701004710000001E-3</v>
      </c>
      <c r="C52" s="22">
        <f t="shared" si="0"/>
        <v>-4.2701004710000001</v>
      </c>
    </row>
    <row r="53" spans="1:3" x14ac:dyDescent="0.3">
      <c r="A53" s="22">
        <v>-5.5400000000000003E-6</v>
      </c>
      <c r="B53" s="22">
        <v>-4.5716080060000004E-3</v>
      </c>
      <c r="C53" s="22">
        <f t="shared" si="0"/>
        <v>-4.5716080060000008</v>
      </c>
    </row>
    <row r="54" spans="1:3" x14ac:dyDescent="0.3">
      <c r="A54" s="22">
        <v>-5.5350000000000004E-6</v>
      </c>
      <c r="B54" s="22">
        <v>-3.8680904249999998E-3</v>
      </c>
      <c r="C54" s="22">
        <f t="shared" si="0"/>
        <v>-3.8680904249999997</v>
      </c>
    </row>
    <row r="55" spans="1:3" x14ac:dyDescent="0.3">
      <c r="A55" s="22">
        <v>-5.5300000000000004E-6</v>
      </c>
      <c r="B55" s="22">
        <v>-3.4660803790000001E-3</v>
      </c>
      <c r="C55" s="22">
        <f t="shared" si="0"/>
        <v>-3.4660803790000001</v>
      </c>
    </row>
    <row r="56" spans="1:3" x14ac:dyDescent="0.3">
      <c r="A56" s="22">
        <v>-5.5249999999999996E-6</v>
      </c>
      <c r="B56" s="22">
        <v>-2.7625627989999999E-3</v>
      </c>
      <c r="C56" s="22">
        <f t="shared" si="0"/>
        <v>-2.7625627989999999</v>
      </c>
    </row>
    <row r="57" spans="1:3" x14ac:dyDescent="0.3">
      <c r="A57" s="22">
        <v>-5.5199999999999997E-6</v>
      </c>
      <c r="B57" s="22">
        <v>-2.3605527530000002E-3</v>
      </c>
      <c r="C57" s="22">
        <f t="shared" si="0"/>
        <v>-2.3605527530000003</v>
      </c>
    </row>
    <row r="58" spans="1:3" x14ac:dyDescent="0.3">
      <c r="A58" s="22">
        <v>-5.5149999999999997E-6</v>
      </c>
      <c r="B58" s="22">
        <v>-2.7625627989999999E-3</v>
      </c>
      <c r="C58" s="22">
        <f t="shared" si="0"/>
        <v>-2.7625627989999999</v>
      </c>
    </row>
    <row r="59" spans="1:3" x14ac:dyDescent="0.3">
      <c r="A59" s="22">
        <v>-5.5099999999999998E-6</v>
      </c>
      <c r="B59" s="22">
        <v>-1.8580401959999999E-3</v>
      </c>
      <c r="C59" s="22">
        <f t="shared" si="0"/>
        <v>-1.8580401959999999</v>
      </c>
    </row>
    <row r="60" spans="1:3" x14ac:dyDescent="0.3">
      <c r="A60" s="22">
        <v>-5.5049999999999998E-6</v>
      </c>
      <c r="B60" s="22">
        <v>-6.5201005800000005E-4</v>
      </c>
      <c r="C60" s="22">
        <f t="shared" si="0"/>
        <v>-0.652010058</v>
      </c>
    </row>
    <row r="61" spans="1:3" x14ac:dyDescent="0.3">
      <c r="A61" s="22">
        <v>-5.4999999999999999E-6</v>
      </c>
      <c r="B61" s="22">
        <v>-6.5201005800000005E-4</v>
      </c>
      <c r="C61" s="22">
        <f t="shared" si="0"/>
        <v>-0.652010058</v>
      </c>
    </row>
    <row r="62" spans="1:3" x14ac:dyDescent="0.3">
      <c r="A62" s="22">
        <v>-5.4949999999999999E-6</v>
      </c>
      <c r="B62" s="22">
        <v>1.52010034E-4</v>
      </c>
      <c r="C62" s="22">
        <f t="shared" si="0"/>
        <v>0.15201003400000002</v>
      </c>
    </row>
    <row r="63" spans="1:3" x14ac:dyDescent="0.3">
      <c r="A63" s="22">
        <v>-5.49E-6</v>
      </c>
      <c r="B63" s="22">
        <v>-6.5201005800000005E-4</v>
      </c>
      <c r="C63" s="22">
        <f t="shared" si="0"/>
        <v>-0.652010058</v>
      </c>
    </row>
    <row r="64" spans="1:3" x14ac:dyDescent="0.3">
      <c r="A64" s="22">
        <v>-5.485E-6</v>
      </c>
      <c r="B64" s="22">
        <v>-2.5000001200000001E-4</v>
      </c>
      <c r="C64" s="22">
        <f t="shared" si="0"/>
        <v>-0.25000001199999999</v>
      </c>
    </row>
    <row r="65" spans="1:3" x14ac:dyDescent="0.3">
      <c r="A65" s="22">
        <v>-5.48E-6</v>
      </c>
      <c r="B65" s="22">
        <v>-2.5000001200000001E-4</v>
      </c>
      <c r="C65" s="22">
        <f t="shared" si="0"/>
        <v>-0.25000001199999999</v>
      </c>
    </row>
    <row r="66" spans="1:3" x14ac:dyDescent="0.3">
      <c r="A66" s="22">
        <v>-5.4750000000000001E-6</v>
      </c>
      <c r="B66" s="22">
        <v>-1.0540201039999999E-3</v>
      </c>
      <c r="C66" s="22">
        <f t="shared" si="0"/>
        <v>-1.0540201039999999</v>
      </c>
    </row>
    <row r="67" spans="1:3" x14ac:dyDescent="0.3">
      <c r="A67" s="22">
        <v>-5.4700000000000001E-6</v>
      </c>
      <c r="B67" s="22">
        <v>-2.5000001200000001E-4</v>
      </c>
      <c r="C67" s="22">
        <f t="shared" si="0"/>
        <v>-0.25000001199999999</v>
      </c>
    </row>
    <row r="68" spans="1:3" x14ac:dyDescent="0.3">
      <c r="A68" s="22">
        <v>-5.4650000000000002E-6</v>
      </c>
      <c r="B68" s="22">
        <v>5.5402008000000002E-4</v>
      </c>
      <c r="C68" s="22">
        <f t="shared" ref="C68:C131" si="1">B68*10^3</f>
        <v>0.55402008000000003</v>
      </c>
    </row>
    <row r="69" spans="1:3" x14ac:dyDescent="0.3">
      <c r="A69" s="22">
        <v>-5.4600000000000002E-6</v>
      </c>
      <c r="B69" s="22">
        <v>5.5402008000000002E-4</v>
      </c>
      <c r="C69" s="22">
        <f t="shared" si="1"/>
        <v>0.55402008000000003</v>
      </c>
    </row>
    <row r="70" spans="1:3" x14ac:dyDescent="0.3">
      <c r="A70" s="22">
        <v>-5.4550000000000003E-6</v>
      </c>
      <c r="B70" s="22">
        <v>6.5452259199999996E-4</v>
      </c>
      <c r="C70" s="22">
        <f t="shared" si="1"/>
        <v>0.65452259199999996</v>
      </c>
    </row>
    <row r="71" spans="1:3" x14ac:dyDescent="0.3">
      <c r="A71" s="22">
        <v>-5.4500000000000003E-6</v>
      </c>
      <c r="B71" s="22">
        <v>9.56030126E-4</v>
      </c>
      <c r="C71" s="22">
        <f t="shared" si="1"/>
        <v>0.95603012600000004</v>
      </c>
    </row>
    <row r="72" spans="1:3" x14ac:dyDescent="0.3">
      <c r="A72" s="22">
        <v>-5.4450000000000004E-6</v>
      </c>
      <c r="B72" s="22">
        <v>9.56030126E-4</v>
      </c>
      <c r="C72" s="22">
        <f t="shared" si="1"/>
        <v>0.95603012600000004</v>
      </c>
    </row>
    <row r="73" spans="1:3" x14ac:dyDescent="0.3">
      <c r="A73" s="22">
        <v>-5.4399999999999996E-6</v>
      </c>
      <c r="B73" s="22">
        <v>1.2575376599999999E-3</v>
      </c>
      <c r="C73" s="22">
        <f t="shared" si="1"/>
        <v>1.2575376599999999</v>
      </c>
    </row>
    <row r="74" spans="1:3" x14ac:dyDescent="0.3">
      <c r="A74" s="22">
        <v>-5.4349999999999996E-6</v>
      </c>
      <c r="B74" s="22">
        <v>1.358040172E-3</v>
      </c>
      <c r="C74" s="22">
        <f t="shared" si="1"/>
        <v>1.3580401719999999</v>
      </c>
    </row>
    <row r="75" spans="1:3" x14ac:dyDescent="0.3">
      <c r="A75" s="22">
        <v>-5.4299999999999997E-6</v>
      </c>
      <c r="B75" s="22">
        <v>5.5402008000000002E-4</v>
      </c>
      <c r="C75" s="22">
        <f t="shared" si="1"/>
        <v>0.55402008000000003</v>
      </c>
    </row>
    <row r="76" spans="1:3" x14ac:dyDescent="0.3">
      <c r="A76" s="22">
        <v>-5.4249999999999997E-6</v>
      </c>
      <c r="B76" s="22">
        <v>9.56030126E-4</v>
      </c>
      <c r="C76" s="22">
        <f t="shared" si="1"/>
        <v>0.95603012600000004</v>
      </c>
    </row>
    <row r="77" spans="1:3" x14ac:dyDescent="0.3">
      <c r="A77" s="22">
        <v>-5.4199999999999998E-6</v>
      </c>
      <c r="B77" s="22">
        <v>5.5402008000000002E-4</v>
      </c>
      <c r="C77" s="22">
        <f t="shared" si="1"/>
        <v>0.55402008000000003</v>
      </c>
    </row>
    <row r="78" spans="1:3" x14ac:dyDescent="0.3">
      <c r="A78" s="22">
        <v>-5.4149999999999998E-6</v>
      </c>
      <c r="B78" s="22">
        <v>6.5452259099999996E-4</v>
      </c>
      <c r="C78" s="22">
        <f t="shared" si="1"/>
        <v>0.65452259099999999</v>
      </c>
    </row>
    <row r="79" spans="1:3" x14ac:dyDescent="0.3">
      <c r="A79" s="22">
        <v>-5.4099999999999999E-6</v>
      </c>
      <c r="B79" s="22">
        <v>-2.5000001200000001E-4</v>
      </c>
      <c r="C79" s="22">
        <f t="shared" si="1"/>
        <v>-0.25000001199999999</v>
      </c>
    </row>
    <row r="80" spans="1:3" x14ac:dyDescent="0.3">
      <c r="A80" s="22">
        <v>-5.4049999999999999E-6</v>
      </c>
      <c r="B80" s="22">
        <v>5.1507522999999997E-5</v>
      </c>
      <c r="C80" s="22">
        <f t="shared" si="1"/>
        <v>5.1507523E-2</v>
      </c>
    </row>
    <row r="81" spans="1:3" x14ac:dyDescent="0.3">
      <c r="A81" s="22">
        <v>-5.4E-6</v>
      </c>
      <c r="B81" s="22">
        <v>-1.4560301499999999E-3</v>
      </c>
      <c r="C81" s="22">
        <f t="shared" si="1"/>
        <v>-1.4560301499999999</v>
      </c>
    </row>
    <row r="82" spans="1:3" x14ac:dyDescent="0.3">
      <c r="A82" s="22">
        <v>-5.395E-6</v>
      </c>
      <c r="B82" s="22">
        <v>-1.4560301499999999E-3</v>
      </c>
      <c r="C82" s="22">
        <f t="shared" si="1"/>
        <v>-1.4560301499999999</v>
      </c>
    </row>
    <row r="83" spans="1:3" x14ac:dyDescent="0.3">
      <c r="A83" s="22">
        <v>-5.3900000000000001E-6</v>
      </c>
      <c r="B83" s="22">
        <v>-1.4560301499999999E-3</v>
      </c>
      <c r="C83" s="22">
        <f t="shared" si="1"/>
        <v>-1.4560301499999999</v>
      </c>
    </row>
    <row r="84" spans="1:3" x14ac:dyDescent="0.3">
      <c r="A84" s="22">
        <v>-5.3850000000000001E-6</v>
      </c>
      <c r="B84" s="22">
        <v>-1.657035173E-3</v>
      </c>
      <c r="C84" s="22">
        <f t="shared" si="1"/>
        <v>-1.6570351729999999</v>
      </c>
    </row>
    <row r="85" spans="1:3" x14ac:dyDescent="0.3">
      <c r="A85" s="22">
        <v>-5.3800000000000002E-6</v>
      </c>
      <c r="B85" s="22">
        <v>-2.2600502419999999E-3</v>
      </c>
      <c r="C85" s="22">
        <f t="shared" si="1"/>
        <v>-2.2600502419999997</v>
      </c>
    </row>
    <row r="86" spans="1:3" x14ac:dyDescent="0.3">
      <c r="A86" s="22">
        <v>-5.3750000000000002E-6</v>
      </c>
      <c r="B86" s="22">
        <v>-2.2600502419999999E-3</v>
      </c>
      <c r="C86" s="22">
        <f t="shared" si="1"/>
        <v>-2.2600502419999997</v>
      </c>
    </row>
    <row r="87" spans="1:3" x14ac:dyDescent="0.3">
      <c r="A87" s="22">
        <v>-5.3700000000000003E-6</v>
      </c>
      <c r="B87" s="22">
        <v>-3.4660803790000001E-3</v>
      </c>
      <c r="C87" s="22">
        <f t="shared" si="1"/>
        <v>-3.4660803790000001</v>
      </c>
    </row>
    <row r="88" spans="1:3" x14ac:dyDescent="0.3">
      <c r="A88" s="22">
        <v>-5.3650000000000003E-6</v>
      </c>
      <c r="B88" s="22">
        <v>-1.8580401959999999E-3</v>
      </c>
      <c r="C88" s="22">
        <f t="shared" si="1"/>
        <v>-1.8580401959999999</v>
      </c>
    </row>
    <row r="89" spans="1:3" x14ac:dyDescent="0.3">
      <c r="A89" s="22">
        <v>-5.3600000000000004E-6</v>
      </c>
      <c r="B89" s="22">
        <v>-2.963567822E-3</v>
      </c>
      <c r="C89" s="22">
        <f t="shared" si="1"/>
        <v>-2.9635678219999999</v>
      </c>
    </row>
    <row r="90" spans="1:3" x14ac:dyDescent="0.3">
      <c r="A90" s="22">
        <v>-5.3550000000000004E-6</v>
      </c>
      <c r="B90" s="22">
        <v>-1.958542707E-3</v>
      </c>
      <c r="C90" s="22">
        <f t="shared" si="1"/>
        <v>-1.9585427069999999</v>
      </c>
    </row>
    <row r="91" spans="1:3" x14ac:dyDescent="0.3">
      <c r="A91" s="22">
        <v>-5.3499999999999996E-6</v>
      </c>
      <c r="B91" s="22">
        <v>-6.5201005800000005E-4</v>
      </c>
      <c r="C91" s="22">
        <f t="shared" si="1"/>
        <v>-0.652010058</v>
      </c>
    </row>
    <row r="92" spans="1:3" x14ac:dyDescent="0.3">
      <c r="A92" s="22">
        <v>-5.3449999999999996E-6</v>
      </c>
      <c r="B92" s="22">
        <v>-1.0540201039999999E-3</v>
      </c>
      <c r="C92" s="22">
        <f t="shared" si="1"/>
        <v>-1.0540201039999999</v>
      </c>
    </row>
    <row r="93" spans="1:3" x14ac:dyDescent="0.3">
      <c r="A93" s="22">
        <v>-5.3399999999999997E-6</v>
      </c>
      <c r="B93" s="22">
        <v>-1.8580401959999999E-3</v>
      </c>
      <c r="C93" s="22">
        <f t="shared" si="1"/>
        <v>-1.8580401959999999</v>
      </c>
    </row>
    <row r="94" spans="1:3" x14ac:dyDescent="0.3">
      <c r="A94" s="22">
        <v>-5.3349999999999997E-6</v>
      </c>
      <c r="B94" s="22">
        <v>-7.52512569E-4</v>
      </c>
      <c r="C94" s="22">
        <f t="shared" si="1"/>
        <v>-0.75251256899999996</v>
      </c>
    </row>
    <row r="95" spans="1:3" x14ac:dyDescent="0.3">
      <c r="A95" s="22">
        <v>-5.3299999999999998E-6</v>
      </c>
      <c r="B95" s="22">
        <v>-1.4560301499999999E-3</v>
      </c>
      <c r="C95" s="22">
        <f t="shared" si="1"/>
        <v>-1.4560301499999999</v>
      </c>
    </row>
    <row r="96" spans="1:3" x14ac:dyDescent="0.3">
      <c r="A96" s="22">
        <v>-5.3249999999999998E-6</v>
      </c>
      <c r="B96" s="22">
        <v>-3.5050252300000001E-4</v>
      </c>
      <c r="C96" s="22">
        <f t="shared" si="1"/>
        <v>-0.35050252300000001</v>
      </c>
    </row>
    <row r="97" spans="1:3" x14ac:dyDescent="0.3">
      <c r="A97" s="22">
        <v>-5.3199999999999999E-6</v>
      </c>
      <c r="B97" s="22">
        <v>-7.52512569E-4</v>
      </c>
      <c r="C97" s="22">
        <f t="shared" si="1"/>
        <v>-0.75251256899999996</v>
      </c>
    </row>
    <row r="98" spans="1:3" x14ac:dyDescent="0.3">
      <c r="A98" s="22">
        <v>-5.3149999999999999E-6</v>
      </c>
      <c r="B98" s="22">
        <v>-6.5201005800000005E-4</v>
      </c>
      <c r="C98" s="22">
        <f t="shared" si="1"/>
        <v>-0.652010058</v>
      </c>
    </row>
    <row r="99" spans="1:3" x14ac:dyDescent="0.3">
      <c r="A99" s="22">
        <v>-5.31E-6</v>
      </c>
      <c r="B99" s="22">
        <v>-6.5201005800000005E-4</v>
      </c>
      <c r="C99" s="22">
        <f t="shared" si="1"/>
        <v>-0.652010058</v>
      </c>
    </row>
    <row r="100" spans="1:3" x14ac:dyDescent="0.3">
      <c r="A100" s="22">
        <v>-5.305E-6</v>
      </c>
      <c r="B100" s="22">
        <v>-7.52512569E-4</v>
      </c>
      <c r="C100" s="22">
        <f t="shared" si="1"/>
        <v>-0.75251256899999996</v>
      </c>
    </row>
    <row r="101" spans="1:3" x14ac:dyDescent="0.3">
      <c r="A101" s="22">
        <v>-5.3000000000000001E-6</v>
      </c>
      <c r="B101" s="22">
        <v>-1.556532661E-3</v>
      </c>
      <c r="C101" s="22">
        <f t="shared" si="1"/>
        <v>-1.5565326609999999</v>
      </c>
    </row>
    <row r="102" spans="1:3" x14ac:dyDescent="0.3">
      <c r="A102" s="22">
        <v>-5.2950000000000001E-6</v>
      </c>
      <c r="B102" s="22">
        <v>-6.5201005800000005E-4</v>
      </c>
      <c r="C102" s="22">
        <f t="shared" si="1"/>
        <v>-0.652010058</v>
      </c>
    </row>
    <row r="103" spans="1:3" x14ac:dyDescent="0.3">
      <c r="A103" s="22">
        <v>-5.2900000000000002E-6</v>
      </c>
      <c r="B103" s="22">
        <v>-7.52512569E-4</v>
      </c>
      <c r="C103" s="22">
        <f t="shared" si="1"/>
        <v>-0.75251256899999996</v>
      </c>
    </row>
    <row r="104" spans="1:3" x14ac:dyDescent="0.3">
      <c r="A104" s="22">
        <v>-5.2850000000000002E-6</v>
      </c>
      <c r="B104" s="22">
        <v>-2.5000001200000001E-4</v>
      </c>
      <c r="C104" s="22">
        <f t="shared" si="1"/>
        <v>-0.25000001199999999</v>
      </c>
    </row>
    <row r="105" spans="1:3" x14ac:dyDescent="0.3">
      <c r="A105" s="22">
        <v>-5.2800000000000003E-6</v>
      </c>
      <c r="B105" s="22">
        <v>-1.4560301499999999E-3</v>
      </c>
      <c r="C105" s="22">
        <f t="shared" si="1"/>
        <v>-1.4560301499999999</v>
      </c>
    </row>
    <row r="106" spans="1:3" x14ac:dyDescent="0.3">
      <c r="A106" s="22">
        <v>-5.2750000000000003E-6</v>
      </c>
      <c r="B106" s="22">
        <v>-6.5201005800000005E-4</v>
      </c>
      <c r="C106" s="22">
        <f t="shared" si="1"/>
        <v>-0.652010058</v>
      </c>
    </row>
    <row r="107" spans="1:3" x14ac:dyDescent="0.3">
      <c r="A107" s="22">
        <v>-5.2700000000000004E-6</v>
      </c>
      <c r="B107" s="22">
        <v>5.5402008000000002E-4</v>
      </c>
      <c r="C107" s="22">
        <f t="shared" si="1"/>
        <v>0.55402008000000003</v>
      </c>
    </row>
    <row r="108" spans="1:3" x14ac:dyDescent="0.3">
      <c r="A108" s="22">
        <v>-5.2650000000000004E-6</v>
      </c>
      <c r="B108" s="22">
        <v>-4.5100503500000001E-4</v>
      </c>
      <c r="C108" s="22">
        <f t="shared" si="1"/>
        <v>-0.451005035</v>
      </c>
    </row>
    <row r="109" spans="1:3" x14ac:dyDescent="0.3">
      <c r="A109" s="22">
        <v>-5.2599999999999996E-6</v>
      </c>
      <c r="B109" s="22">
        <v>-2.5000001200000001E-4</v>
      </c>
      <c r="C109" s="22">
        <f t="shared" si="1"/>
        <v>-0.25000001199999999</v>
      </c>
    </row>
    <row r="110" spans="1:3" x14ac:dyDescent="0.3">
      <c r="A110" s="22">
        <v>-5.2549999999999997E-6</v>
      </c>
      <c r="B110" s="22">
        <v>-3.5050252300000001E-4</v>
      </c>
      <c r="C110" s="22">
        <f t="shared" si="1"/>
        <v>-0.35050252300000001</v>
      </c>
    </row>
    <row r="111" spans="1:3" x14ac:dyDescent="0.3">
      <c r="A111" s="22">
        <v>-5.2499999999999997E-6</v>
      </c>
      <c r="B111" s="22">
        <v>-1.0540201039999999E-3</v>
      </c>
      <c r="C111" s="22">
        <f t="shared" si="1"/>
        <v>-1.0540201039999999</v>
      </c>
    </row>
    <row r="112" spans="1:3" x14ac:dyDescent="0.3">
      <c r="A112" s="22">
        <v>-5.2449999999999998E-6</v>
      </c>
      <c r="B112" s="22">
        <v>-1.0540201039999999E-3</v>
      </c>
      <c r="C112" s="22">
        <f t="shared" si="1"/>
        <v>-1.0540201039999999</v>
      </c>
    </row>
    <row r="113" spans="1:3" x14ac:dyDescent="0.3">
      <c r="A113" s="22">
        <v>-5.2399999999999998E-6</v>
      </c>
      <c r="B113" s="22">
        <v>-6.5201005800000005E-4</v>
      </c>
      <c r="C113" s="22">
        <f t="shared" si="1"/>
        <v>-0.652010058</v>
      </c>
    </row>
    <row r="114" spans="1:3" x14ac:dyDescent="0.3">
      <c r="A114" s="22">
        <v>-5.2349999999999999E-6</v>
      </c>
      <c r="B114" s="22">
        <v>-4.5100503500000001E-4</v>
      </c>
      <c r="C114" s="22">
        <f t="shared" si="1"/>
        <v>-0.451005035</v>
      </c>
    </row>
    <row r="115" spans="1:3" x14ac:dyDescent="0.3">
      <c r="A115" s="22">
        <v>-5.2299999999999999E-6</v>
      </c>
      <c r="B115" s="22">
        <v>-1.4560301499999999E-3</v>
      </c>
      <c r="C115" s="22">
        <f t="shared" si="1"/>
        <v>-1.4560301499999999</v>
      </c>
    </row>
    <row r="116" spans="1:3" x14ac:dyDescent="0.3">
      <c r="A116" s="22">
        <v>-5.2249999999999999E-6</v>
      </c>
      <c r="B116" s="22">
        <v>-1.4560301499999999E-3</v>
      </c>
      <c r="C116" s="22">
        <f t="shared" si="1"/>
        <v>-1.4560301499999999</v>
      </c>
    </row>
    <row r="117" spans="1:3" x14ac:dyDescent="0.3">
      <c r="A117" s="22">
        <v>-5.22E-6</v>
      </c>
      <c r="B117" s="22">
        <v>-1.958542707E-3</v>
      </c>
      <c r="C117" s="22">
        <f t="shared" si="1"/>
        <v>-1.9585427069999999</v>
      </c>
    </row>
    <row r="118" spans="1:3" x14ac:dyDescent="0.3">
      <c r="A118" s="22">
        <v>-5.215E-6</v>
      </c>
      <c r="B118" s="22">
        <v>-1.4560301499999999E-3</v>
      </c>
      <c r="C118" s="22">
        <f t="shared" si="1"/>
        <v>-1.4560301499999999</v>
      </c>
    </row>
    <row r="119" spans="1:3" x14ac:dyDescent="0.3">
      <c r="A119" s="22">
        <v>-5.2100000000000001E-6</v>
      </c>
      <c r="B119" s="22">
        <v>-1.556532661E-3</v>
      </c>
      <c r="C119" s="22">
        <f t="shared" si="1"/>
        <v>-1.5565326609999999</v>
      </c>
    </row>
    <row r="120" spans="1:3" x14ac:dyDescent="0.3">
      <c r="A120" s="22">
        <v>-5.2050000000000001E-6</v>
      </c>
      <c r="B120" s="22">
        <v>-2.2600502419999999E-3</v>
      </c>
      <c r="C120" s="22">
        <f t="shared" si="1"/>
        <v>-2.2600502419999997</v>
      </c>
    </row>
    <row r="121" spans="1:3" x14ac:dyDescent="0.3">
      <c r="A121" s="22">
        <v>-5.2000000000000002E-6</v>
      </c>
      <c r="B121" s="22">
        <v>-1.4560301499999999E-3</v>
      </c>
      <c r="C121" s="22">
        <f t="shared" si="1"/>
        <v>-1.4560301499999999</v>
      </c>
    </row>
    <row r="122" spans="1:3" x14ac:dyDescent="0.3">
      <c r="A122" s="22">
        <v>-5.1950000000000002E-6</v>
      </c>
      <c r="B122" s="22">
        <v>-1.154522615E-3</v>
      </c>
      <c r="C122" s="22">
        <f t="shared" si="1"/>
        <v>-1.1545226150000001</v>
      </c>
    </row>
    <row r="123" spans="1:3" x14ac:dyDescent="0.3">
      <c r="A123" s="22">
        <v>-5.1900000000000003E-6</v>
      </c>
      <c r="B123" s="22">
        <v>-7.52512569E-4</v>
      </c>
      <c r="C123" s="22">
        <f t="shared" si="1"/>
        <v>-0.75251256899999996</v>
      </c>
    </row>
    <row r="124" spans="1:3" x14ac:dyDescent="0.3">
      <c r="A124" s="22">
        <v>-5.1850000000000003E-6</v>
      </c>
      <c r="B124" s="22">
        <v>-1.0540201039999999E-3</v>
      </c>
      <c r="C124" s="22">
        <f t="shared" si="1"/>
        <v>-1.0540201039999999</v>
      </c>
    </row>
    <row r="125" spans="1:3" x14ac:dyDescent="0.3">
      <c r="A125" s="22">
        <v>-5.1800000000000004E-6</v>
      </c>
      <c r="B125" s="22">
        <v>-1.4560301499999999E-3</v>
      </c>
      <c r="C125" s="22">
        <f t="shared" si="1"/>
        <v>-1.4560301499999999</v>
      </c>
    </row>
    <row r="126" spans="1:3" x14ac:dyDescent="0.3">
      <c r="A126" s="22">
        <v>-5.1749999999999996E-6</v>
      </c>
      <c r="B126" s="22">
        <v>-1.154522615E-3</v>
      </c>
      <c r="C126" s="22">
        <f t="shared" si="1"/>
        <v>-1.1545226150000001</v>
      </c>
    </row>
    <row r="127" spans="1:3" x14ac:dyDescent="0.3">
      <c r="A127" s="22">
        <v>-5.1699999999999996E-6</v>
      </c>
      <c r="B127" s="22">
        <v>-1.7575376840000001E-3</v>
      </c>
      <c r="C127" s="22">
        <f t="shared" si="1"/>
        <v>-1.7575376840000001</v>
      </c>
    </row>
    <row r="128" spans="1:3" x14ac:dyDescent="0.3">
      <c r="A128" s="22">
        <v>-5.1649999999999997E-6</v>
      </c>
      <c r="B128" s="22">
        <v>-1.556532661E-3</v>
      </c>
      <c r="C128" s="22">
        <f t="shared" si="1"/>
        <v>-1.5565326609999999</v>
      </c>
    </row>
    <row r="129" spans="1:3" x14ac:dyDescent="0.3">
      <c r="A129" s="22">
        <v>-5.1599999999999997E-6</v>
      </c>
      <c r="B129" s="22">
        <v>-1.4560301499999999E-3</v>
      </c>
      <c r="C129" s="22">
        <f t="shared" si="1"/>
        <v>-1.4560301499999999</v>
      </c>
    </row>
    <row r="130" spans="1:3" x14ac:dyDescent="0.3">
      <c r="A130" s="22">
        <v>-5.1549999999999998E-6</v>
      </c>
      <c r="B130" s="22">
        <v>-1.556532661E-3</v>
      </c>
      <c r="C130" s="22">
        <f t="shared" si="1"/>
        <v>-1.5565326609999999</v>
      </c>
    </row>
    <row r="131" spans="1:3" x14ac:dyDescent="0.3">
      <c r="A131" s="22">
        <v>-5.1499999999999998E-6</v>
      </c>
      <c r="B131" s="22">
        <v>-2.5000001200000001E-4</v>
      </c>
      <c r="C131" s="22">
        <f t="shared" si="1"/>
        <v>-0.25000001199999999</v>
      </c>
    </row>
    <row r="132" spans="1:3" x14ac:dyDescent="0.3">
      <c r="A132" s="22">
        <v>-5.1449999999999999E-6</v>
      </c>
      <c r="B132" s="22">
        <v>-3.5050252300000001E-4</v>
      </c>
      <c r="C132" s="22">
        <f t="shared" ref="C132:C195" si="2">B132*10^3</f>
        <v>-0.35050252300000001</v>
      </c>
    </row>
    <row r="133" spans="1:3" x14ac:dyDescent="0.3">
      <c r="A133" s="22">
        <v>-5.1399999999999999E-6</v>
      </c>
      <c r="B133" s="22">
        <v>-1.255025127E-3</v>
      </c>
      <c r="C133" s="22">
        <f t="shared" si="2"/>
        <v>-1.2550251270000001</v>
      </c>
    </row>
    <row r="134" spans="1:3" x14ac:dyDescent="0.3">
      <c r="A134" s="22">
        <v>-5.135E-6</v>
      </c>
      <c r="B134" s="22">
        <v>-1.4560301499999999E-3</v>
      </c>
      <c r="C134" s="22">
        <f t="shared" si="2"/>
        <v>-1.4560301499999999</v>
      </c>
    </row>
    <row r="135" spans="1:3" x14ac:dyDescent="0.3">
      <c r="A135" s="22">
        <v>-5.13E-6</v>
      </c>
      <c r="B135" s="22">
        <v>-1.154522615E-3</v>
      </c>
      <c r="C135" s="22">
        <f t="shared" si="2"/>
        <v>-1.1545226150000001</v>
      </c>
    </row>
    <row r="136" spans="1:3" x14ac:dyDescent="0.3">
      <c r="A136" s="22">
        <v>-5.1250000000000001E-6</v>
      </c>
      <c r="B136" s="22">
        <v>-1.8580401959999999E-3</v>
      </c>
      <c r="C136" s="22">
        <f t="shared" si="2"/>
        <v>-1.8580401959999999</v>
      </c>
    </row>
    <row r="137" spans="1:3" x14ac:dyDescent="0.3">
      <c r="A137" s="22">
        <v>-5.1200000000000001E-6</v>
      </c>
      <c r="B137" s="22">
        <v>-2.2600502419999999E-3</v>
      </c>
      <c r="C137" s="22">
        <f t="shared" si="2"/>
        <v>-2.2600502419999997</v>
      </c>
    </row>
    <row r="138" spans="1:3" x14ac:dyDescent="0.3">
      <c r="A138" s="22">
        <v>-5.1150000000000002E-6</v>
      </c>
      <c r="B138" s="22">
        <v>-2.7625627989999999E-3</v>
      </c>
      <c r="C138" s="22">
        <f t="shared" si="2"/>
        <v>-2.7625627989999999</v>
      </c>
    </row>
    <row r="139" spans="1:3" x14ac:dyDescent="0.3">
      <c r="A139" s="22">
        <v>-5.1100000000000002E-6</v>
      </c>
      <c r="B139" s="22">
        <v>-3.0640703329999999E-3</v>
      </c>
      <c r="C139" s="22">
        <f t="shared" si="2"/>
        <v>-3.0640703330000001</v>
      </c>
    </row>
    <row r="140" spans="1:3" x14ac:dyDescent="0.3">
      <c r="A140" s="22">
        <v>-5.1050000000000003E-6</v>
      </c>
      <c r="B140" s="22">
        <v>-2.7625627989999999E-3</v>
      </c>
      <c r="C140" s="22">
        <f t="shared" si="2"/>
        <v>-2.7625627989999999</v>
      </c>
    </row>
    <row r="141" spans="1:3" x14ac:dyDescent="0.3">
      <c r="A141" s="22">
        <v>-5.1000000000000003E-6</v>
      </c>
      <c r="B141" s="22">
        <v>-2.2600502419999999E-3</v>
      </c>
      <c r="C141" s="22">
        <f t="shared" si="2"/>
        <v>-2.2600502419999997</v>
      </c>
    </row>
    <row r="142" spans="1:3" x14ac:dyDescent="0.3">
      <c r="A142" s="22">
        <v>-5.0950000000000003E-6</v>
      </c>
      <c r="B142" s="22">
        <v>-2.2600502419999999E-3</v>
      </c>
      <c r="C142" s="22">
        <f t="shared" si="2"/>
        <v>-2.2600502419999997</v>
      </c>
    </row>
    <row r="143" spans="1:3" x14ac:dyDescent="0.3">
      <c r="A143" s="22">
        <v>-5.0900000000000004E-6</v>
      </c>
      <c r="B143" s="22">
        <v>-1.958542707E-3</v>
      </c>
      <c r="C143" s="22">
        <f t="shared" si="2"/>
        <v>-1.9585427069999999</v>
      </c>
    </row>
    <row r="144" spans="1:3" x14ac:dyDescent="0.3">
      <c r="A144" s="22">
        <v>-5.0849999999999996E-6</v>
      </c>
      <c r="B144" s="22">
        <v>-7.52512569E-4</v>
      </c>
      <c r="C144" s="22">
        <f t="shared" si="2"/>
        <v>-0.75251256899999996</v>
      </c>
    </row>
    <row r="145" spans="1:3" x14ac:dyDescent="0.3">
      <c r="A145" s="22">
        <v>-5.0799999999999996E-6</v>
      </c>
      <c r="B145" s="22">
        <v>-1.3555276380000001E-3</v>
      </c>
      <c r="C145" s="22">
        <f t="shared" si="2"/>
        <v>-1.3555276380000001</v>
      </c>
    </row>
    <row r="146" spans="1:3" x14ac:dyDescent="0.3">
      <c r="A146" s="22">
        <v>-5.0749999999999997E-6</v>
      </c>
      <c r="B146" s="22">
        <v>-1.154522615E-3</v>
      </c>
      <c r="C146" s="22">
        <f t="shared" si="2"/>
        <v>-1.1545226150000001</v>
      </c>
    </row>
    <row r="147" spans="1:3" x14ac:dyDescent="0.3">
      <c r="A147" s="22">
        <v>-5.0699999999999997E-6</v>
      </c>
      <c r="B147" s="22">
        <v>-3.5050252300000001E-4</v>
      </c>
      <c r="C147" s="22">
        <f t="shared" si="2"/>
        <v>-0.35050252300000001</v>
      </c>
    </row>
    <row r="148" spans="1:3" x14ac:dyDescent="0.3">
      <c r="A148" s="22">
        <v>-5.0649999999999998E-6</v>
      </c>
      <c r="B148" s="22">
        <v>-1.556532661E-3</v>
      </c>
      <c r="C148" s="22">
        <f t="shared" si="2"/>
        <v>-1.5565326609999999</v>
      </c>
    </row>
    <row r="149" spans="1:3" x14ac:dyDescent="0.3">
      <c r="A149" s="22">
        <v>-5.0599999999999998E-6</v>
      </c>
      <c r="B149" s="22">
        <v>-1.0540201039999999E-3</v>
      </c>
      <c r="C149" s="22">
        <f t="shared" si="2"/>
        <v>-1.0540201039999999</v>
      </c>
    </row>
    <row r="150" spans="1:3" x14ac:dyDescent="0.3">
      <c r="A150" s="22">
        <v>-5.0549999999999999E-6</v>
      </c>
      <c r="B150" s="22">
        <v>-6.5201005800000005E-4</v>
      </c>
      <c r="C150" s="22">
        <f t="shared" si="2"/>
        <v>-0.652010058</v>
      </c>
    </row>
    <row r="151" spans="1:3" x14ac:dyDescent="0.3">
      <c r="A151" s="22">
        <v>-5.0499999999999999E-6</v>
      </c>
      <c r="B151" s="22">
        <v>5.1507522999999997E-5</v>
      </c>
      <c r="C151" s="22">
        <f t="shared" si="2"/>
        <v>5.1507523E-2</v>
      </c>
    </row>
    <row r="152" spans="1:3" x14ac:dyDescent="0.3">
      <c r="A152" s="22">
        <v>-5.045E-6</v>
      </c>
      <c r="B152" s="22">
        <v>1.52010034E-4</v>
      </c>
      <c r="C152" s="22">
        <f t="shared" si="2"/>
        <v>0.15201003400000002</v>
      </c>
    </row>
    <row r="153" spans="1:3" x14ac:dyDescent="0.3">
      <c r="A153" s="22">
        <v>-5.04E-6</v>
      </c>
      <c r="B153" s="22">
        <v>-1.4949749999999999E-4</v>
      </c>
      <c r="C153" s="22">
        <f t="shared" si="2"/>
        <v>-0.14949749999999998</v>
      </c>
    </row>
    <row r="154" spans="1:3" x14ac:dyDescent="0.3">
      <c r="A154" s="22">
        <v>-5.0350000000000001E-6</v>
      </c>
      <c r="B154" s="22">
        <v>-7.52512569E-4</v>
      </c>
      <c r="C154" s="22">
        <f t="shared" si="2"/>
        <v>-0.75251256899999996</v>
      </c>
    </row>
    <row r="155" spans="1:3" x14ac:dyDescent="0.3">
      <c r="A155" s="22">
        <v>-5.0300000000000001E-6</v>
      </c>
      <c r="B155" s="22">
        <v>-1.3555276380000001E-3</v>
      </c>
      <c r="C155" s="22">
        <f t="shared" si="2"/>
        <v>-1.3555276380000001</v>
      </c>
    </row>
    <row r="156" spans="1:3" x14ac:dyDescent="0.3">
      <c r="A156" s="22">
        <v>-5.0250000000000002E-6</v>
      </c>
      <c r="B156" s="22">
        <v>-7.52512569E-4</v>
      </c>
      <c r="C156" s="22">
        <f t="shared" si="2"/>
        <v>-0.75251256899999996</v>
      </c>
    </row>
    <row r="157" spans="1:3" x14ac:dyDescent="0.3">
      <c r="A157" s="22">
        <v>-5.0200000000000002E-6</v>
      </c>
      <c r="B157" s="22">
        <v>4.5351756900000002E-4</v>
      </c>
      <c r="C157" s="22">
        <f t="shared" si="2"/>
        <v>0.45351756900000001</v>
      </c>
    </row>
    <row r="158" spans="1:3" x14ac:dyDescent="0.3">
      <c r="A158" s="22">
        <v>-5.0150000000000003E-6</v>
      </c>
      <c r="B158" s="22">
        <v>1.52010034E-4</v>
      </c>
      <c r="C158" s="22">
        <f t="shared" si="2"/>
        <v>0.15201003400000002</v>
      </c>
    </row>
    <row r="159" spans="1:3" x14ac:dyDescent="0.3">
      <c r="A159" s="22">
        <v>-5.0100000000000003E-6</v>
      </c>
      <c r="B159" s="22">
        <v>2.5251254600000002E-4</v>
      </c>
      <c r="C159" s="22">
        <f t="shared" si="2"/>
        <v>0.252512546</v>
      </c>
    </row>
    <row r="160" spans="1:3" x14ac:dyDescent="0.3">
      <c r="A160" s="22">
        <v>-5.0050000000000004E-6</v>
      </c>
      <c r="B160" s="22">
        <v>4.5351756900000002E-4</v>
      </c>
      <c r="C160" s="22">
        <f t="shared" si="2"/>
        <v>0.45351756900000001</v>
      </c>
    </row>
    <row r="161" spans="1:3" x14ac:dyDescent="0.3">
      <c r="A161" s="22">
        <v>-5.0000000000000004E-6</v>
      </c>
      <c r="B161" s="22">
        <v>1.52010034E-4</v>
      </c>
      <c r="C161" s="22">
        <f t="shared" si="2"/>
        <v>0.15201003400000002</v>
      </c>
    </row>
    <row r="162" spans="1:3" x14ac:dyDescent="0.3">
      <c r="A162" s="22">
        <v>-4.9949999999999996E-6</v>
      </c>
      <c r="B162" s="22">
        <v>-1.0540201039999999E-3</v>
      </c>
      <c r="C162" s="22">
        <f t="shared" si="2"/>
        <v>-1.0540201039999999</v>
      </c>
    </row>
    <row r="163" spans="1:3" x14ac:dyDescent="0.3">
      <c r="A163" s="22">
        <v>-4.9899999999999997E-6</v>
      </c>
      <c r="B163" s="22">
        <v>-2.5000001200000001E-4</v>
      </c>
      <c r="C163" s="22">
        <f t="shared" si="2"/>
        <v>-0.25000001199999999</v>
      </c>
    </row>
    <row r="164" spans="1:3" x14ac:dyDescent="0.3">
      <c r="A164" s="22">
        <v>-4.9849999999999997E-6</v>
      </c>
      <c r="B164" s="22">
        <v>-6.5201005800000005E-4</v>
      </c>
      <c r="C164" s="22">
        <f t="shared" si="2"/>
        <v>-0.652010058</v>
      </c>
    </row>
    <row r="165" spans="1:3" x14ac:dyDescent="0.3">
      <c r="A165" s="22">
        <v>-4.9799999999999998E-6</v>
      </c>
      <c r="B165" s="22">
        <v>-1.8580401959999999E-3</v>
      </c>
      <c r="C165" s="22">
        <f t="shared" si="2"/>
        <v>-1.8580401959999999</v>
      </c>
    </row>
    <row r="166" spans="1:3" x14ac:dyDescent="0.3">
      <c r="A166" s="22">
        <v>-4.9749999999999998E-6</v>
      </c>
      <c r="B166" s="22">
        <v>-2.6620602880000001E-3</v>
      </c>
      <c r="C166" s="22">
        <f t="shared" si="2"/>
        <v>-2.6620602880000002</v>
      </c>
    </row>
    <row r="167" spans="1:3" x14ac:dyDescent="0.3">
      <c r="A167" s="22">
        <v>-4.9699999999999998E-6</v>
      </c>
      <c r="B167" s="22">
        <v>-3.4660803790000001E-3</v>
      </c>
      <c r="C167" s="22">
        <f t="shared" si="2"/>
        <v>-3.4660803790000001</v>
      </c>
    </row>
    <row r="168" spans="1:3" x14ac:dyDescent="0.3">
      <c r="A168" s="22">
        <v>-4.9649999999999999E-6</v>
      </c>
      <c r="B168" s="22">
        <v>-2.7625627989999999E-3</v>
      </c>
      <c r="C168" s="22">
        <f t="shared" si="2"/>
        <v>-2.7625627989999999</v>
      </c>
    </row>
    <row r="169" spans="1:3" x14ac:dyDescent="0.3">
      <c r="A169" s="22">
        <v>-4.9599999999999999E-6</v>
      </c>
      <c r="B169" s="22">
        <v>-3.8680904249999998E-3</v>
      </c>
      <c r="C169" s="22">
        <f t="shared" si="2"/>
        <v>-3.8680904249999997</v>
      </c>
    </row>
    <row r="170" spans="1:3" x14ac:dyDescent="0.3">
      <c r="A170" s="22">
        <v>-4.955E-6</v>
      </c>
      <c r="B170" s="22">
        <v>-4.6721105170000003E-3</v>
      </c>
      <c r="C170" s="22">
        <f t="shared" si="2"/>
        <v>-4.6721105170000001</v>
      </c>
    </row>
    <row r="171" spans="1:3" x14ac:dyDescent="0.3">
      <c r="A171" s="22">
        <v>-4.95E-6</v>
      </c>
      <c r="B171" s="22">
        <v>-4.2701004710000001E-3</v>
      </c>
      <c r="C171" s="22">
        <f t="shared" si="2"/>
        <v>-4.2701004710000001</v>
      </c>
    </row>
    <row r="172" spans="1:3" x14ac:dyDescent="0.3">
      <c r="A172" s="22">
        <v>-4.9450000000000001E-6</v>
      </c>
      <c r="B172" s="22">
        <v>-3.9685929370000001E-3</v>
      </c>
      <c r="C172" s="22">
        <f t="shared" si="2"/>
        <v>-3.9685929369999999</v>
      </c>
    </row>
    <row r="173" spans="1:3" x14ac:dyDescent="0.3">
      <c r="A173" s="22">
        <v>-4.9400000000000001E-6</v>
      </c>
      <c r="B173" s="22">
        <v>-4.2701004710000001E-3</v>
      </c>
      <c r="C173" s="22">
        <f t="shared" si="2"/>
        <v>-4.2701004710000001</v>
      </c>
    </row>
    <row r="174" spans="1:3" x14ac:dyDescent="0.3">
      <c r="A174" s="22">
        <v>-4.9350000000000002E-6</v>
      </c>
      <c r="B174" s="22">
        <v>-3.767587914E-3</v>
      </c>
      <c r="C174" s="22">
        <f t="shared" si="2"/>
        <v>-3.7675879139999999</v>
      </c>
    </row>
    <row r="175" spans="1:3" x14ac:dyDescent="0.3">
      <c r="A175" s="22">
        <v>-4.9300000000000002E-6</v>
      </c>
      <c r="B175" s="22">
        <v>-3.8680904249999998E-3</v>
      </c>
      <c r="C175" s="22">
        <f t="shared" si="2"/>
        <v>-3.8680904249999997</v>
      </c>
    </row>
    <row r="176" spans="1:3" x14ac:dyDescent="0.3">
      <c r="A176" s="22">
        <v>-4.9250000000000003E-6</v>
      </c>
      <c r="B176" s="22">
        <v>-3.8680904249999998E-3</v>
      </c>
      <c r="C176" s="22">
        <f t="shared" si="2"/>
        <v>-3.8680904249999997</v>
      </c>
    </row>
    <row r="177" spans="1:3" x14ac:dyDescent="0.3">
      <c r="A177" s="22">
        <v>-4.9200000000000003E-6</v>
      </c>
      <c r="B177" s="22">
        <v>-3.8680904249999998E-3</v>
      </c>
      <c r="C177" s="22">
        <f t="shared" si="2"/>
        <v>-3.8680904249999997</v>
      </c>
    </row>
    <row r="178" spans="1:3" x14ac:dyDescent="0.3">
      <c r="A178" s="22">
        <v>-4.9150000000000004E-6</v>
      </c>
      <c r="B178" s="22">
        <v>-2.2600502419999999E-3</v>
      </c>
      <c r="C178" s="22">
        <f t="shared" si="2"/>
        <v>-2.2600502419999997</v>
      </c>
    </row>
    <row r="179" spans="1:3" x14ac:dyDescent="0.3">
      <c r="A179" s="22">
        <v>-4.9100000000000004E-6</v>
      </c>
      <c r="B179" s="22">
        <v>-2.461055265E-3</v>
      </c>
      <c r="C179" s="22">
        <f t="shared" si="2"/>
        <v>-2.4610552650000002</v>
      </c>
    </row>
    <row r="180" spans="1:3" x14ac:dyDescent="0.3">
      <c r="A180" s="22">
        <v>-4.9049999999999996E-6</v>
      </c>
      <c r="B180" s="22">
        <v>-2.2600502419999999E-3</v>
      </c>
      <c r="C180" s="22">
        <f t="shared" si="2"/>
        <v>-2.2600502419999997</v>
      </c>
    </row>
    <row r="181" spans="1:3" x14ac:dyDescent="0.3">
      <c r="A181" s="22">
        <v>-4.8999999999999997E-6</v>
      </c>
      <c r="B181" s="22">
        <v>-2.3605527530000002E-3</v>
      </c>
      <c r="C181" s="22">
        <f t="shared" si="2"/>
        <v>-2.3605527530000003</v>
      </c>
    </row>
    <row r="182" spans="1:3" x14ac:dyDescent="0.3">
      <c r="A182" s="22">
        <v>-4.8949999999999997E-6</v>
      </c>
      <c r="B182" s="22">
        <v>-3.0640703329999999E-3</v>
      </c>
      <c r="C182" s="22">
        <f t="shared" si="2"/>
        <v>-3.0640703330000001</v>
      </c>
    </row>
    <row r="183" spans="1:3" x14ac:dyDescent="0.3">
      <c r="A183" s="22">
        <v>-4.8899999999999998E-6</v>
      </c>
      <c r="B183" s="22">
        <v>-2.7625627989999999E-3</v>
      </c>
      <c r="C183" s="22">
        <f t="shared" si="2"/>
        <v>-2.7625627989999999</v>
      </c>
    </row>
    <row r="184" spans="1:3" x14ac:dyDescent="0.3">
      <c r="A184" s="22">
        <v>-4.8849999999999998E-6</v>
      </c>
      <c r="B184" s="22">
        <v>-2.2600502419999999E-3</v>
      </c>
      <c r="C184" s="22">
        <f t="shared" si="2"/>
        <v>-2.2600502419999997</v>
      </c>
    </row>
    <row r="185" spans="1:3" x14ac:dyDescent="0.3">
      <c r="A185" s="22">
        <v>-4.8799999999999999E-6</v>
      </c>
      <c r="B185" s="22">
        <v>-1.556532661E-3</v>
      </c>
      <c r="C185" s="22">
        <f t="shared" si="2"/>
        <v>-1.5565326609999999</v>
      </c>
    </row>
    <row r="186" spans="1:3" x14ac:dyDescent="0.3">
      <c r="A186" s="22">
        <v>-4.8749999999999999E-6</v>
      </c>
      <c r="B186" s="22">
        <v>-1.4560301499999999E-3</v>
      </c>
      <c r="C186" s="22">
        <f t="shared" si="2"/>
        <v>-1.4560301499999999</v>
      </c>
    </row>
    <row r="187" spans="1:3" x14ac:dyDescent="0.3">
      <c r="A187" s="22">
        <v>-4.87E-6</v>
      </c>
      <c r="B187" s="22">
        <v>7.5502510300000001E-4</v>
      </c>
      <c r="C187" s="22">
        <f t="shared" si="2"/>
        <v>0.75502510300000003</v>
      </c>
    </row>
    <row r="188" spans="1:3" x14ac:dyDescent="0.3">
      <c r="A188" s="22">
        <v>-4.865E-6</v>
      </c>
      <c r="B188" s="22">
        <v>1.52010034E-4</v>
      </c>
      <c r="C188" s="22">
        <f t="shared" si="2"/>
        <v>0.15201003400000002</v>
      </c>
    </row>
    <row r="189" spans="1:3" x14ac:dyDescent="0.3">
      <c r="A189" s="22">
        <v>-4.8600000000000001E-6</v>
      </c>
      <c r="B189" s="22">
        <v>-6.5201005800000005E-4</v>
      </c>
      <c r="C189" s="22">
        <f t="shared" si="2"/>
        <v>-0.652010058</v>
      </c>
    </row>
    <row r="190" spans="1:3" x14ac:dyDescent="0.3">
      <c r="A190" s="22">
        <v>-4.8550000000000001E-6</v>
      </c>
      <c r="B190" s="22">
        <v>-6.5201005800000005E-4</v>
      </c>
      <c r="C190" s="22">
        <f t="shared" si="2"/>
        <v>-0.652010058</v>
      </c>
    </row>
    <row r="191" spans="1:3" x14ac:dyDescent="0.3">
      <c r="A191" s="22">
        <v>-4.8500000000000002E-6</v>
      </c>
      <c r="B191" s="22">
        <v>1.52010034E-4</v>
      </c>
      <c r="C191" s="22">
        <f t="shared" si="2"/>
        <v>0.15201003400000002</v>
      </c>
    </row>
    <row r="192" spans="1:3" x14ac:dyDescent="0.3">
      <c r="A192" s="22">
        <v>-4.8450000000000002E-6</v>
      </c>
      <c r="B192" s="22">
        <v>3.5301505700000002E-4</v>
      </c>
      <c r="C192" s="22">
        <f t="shared" si="2"/>
        <v>0.35301505700000002</v>
      </c>
    </row>
    <row r="193" spans="1:3" x14ac:dyDescent="0.3">
      <c r="A193" s="22">
        <v>-4.8400000000000002E-6</v>
      </c>
      <c r="B193" s="22">
        <v>1.52010034E-4</v>
      </c>
      <c r="C193" s="22">
        <f t="shared" si="2"/>
        <v>0.15201003400000002</v>
      </c>
    </row>
    <row r="194" spans="1:3" x14ac:dyDescent="0.3">
      <c r="A194" s="22">
        <v>-4.8350000000000003E-6</v>
      </c>
      <c r="B194" s="22">
        <v>-3.5050252300000001E-4</v>
      </c>
      <c r="C194" s="22">
        <f t="shared" si="2"/>
        <v>-0.35050252300000001</v>
      </c>
    </row>
    <row r="195" spans="1:3" x14ac:dyDescent="0.3">
      <c r="A195" s="22">
        <v>-4.8300000000000003E-6</v>
      </c>
      <c r="B195" s="22">
        <v>-6.5201005800000005E-4</v>
      </c>
      <c r="C195" s="22">
        <f t="shared" si="2"/>
        <v>-0.652010058</v>
      </c>
    </row>
    <row r="196" spans="1:3" x14ac:dyDescent="0.3">
      <c r="A196" s="22">
        <v>-4.8250000000000004E-6</v>
      </c>
      <c r="B196" s="22">
        <v>-6.5201005800000005E-4</v>
      </c>
      <c r="C196" s="22">
        <f t="shared" ref="C196:C259" si="3">B196*10^3</f>
        <v>-0.652010058</v>
      </c>
    </row>
    <row r="197" spans="1:3" x14ac:dyDescent="0.3">
      <c r="A197" s="22">
        <v>-4.8199999999999996E-6</v>
      </c>
      <c r="B197" s="22">
        <v>-3.5050252300000001E-4</v>
      </c>
      <c r="C197" s="22">
        <f t="shared" si="3"/>
        <v>-0.35050252300000001</v>
      </c>
    </row>
    <row r="198" spans="1:3" x14ac:dyDescent="0.3">
      <c r="A198" s="22">
        <v>-4.8149999999999996E-6</v>
      </c>
      <c r="B198" s="22">
        <v>-7.52512569E-4</v>
      </c>
      <c r="C198" s="22">
        <f t="shared" si="3"/>
        <v>-0.75251256899999996</v>
      </c>
    </row>
    <row r="199" spans="1:3" x14ac:dyDescent="0.3">
      <c r="A199" s="22">
        <v>-4.8099999999999997E-6</v>
      </c>
      <c r="B199" s="22">
        <v>-9.5351759199999999E-4</v>
      </c>
      <c r="C199" s="22">
        <f t="shared" si="3"/>
        <v>-0.95351759199999997</v>
      </c>
    </row>
    <row r="200" spans="1:3" x14ac:dyDescent="0.3">
      <c r="A200" s="22">
        <v>-4.8049999999999997E-6</v>
      </c>
      <c r="B200" s="22">
        <v>-1.8580401959999999E-3</v>
      </c>
      <c r="C200" s="22">
        <f t="shared" si="3"/>
        <v>-1.8580401959999999</v>
      </c>
    </row>
    <row r="201" spans="1:3" x14ac:dyDescent="0.3">
      <c r="A201" s="22">
        <v>-4.7999999999999998E-6</v>
      </c>
      <c r="B201" s="22">
        <v>-1.3555276380000001E-3</v>
      </c>
      <c r="C201" s="22">
        <f t="shared" si="3"/>
        <v>-1.3555276380000001</v>
      </c>
    </row>
    <row r="202" spans="1:3" x14ac:dyDescent="0.3">
      <c r="A202" s="22">
        <v>-4.7949999999999998E-6</v>
      </c>
      <c r="B202" s="22">
        <v>-1.4560301499999999E-3</v>
      </c>
      <c r="C202" s="22">
        <f t="shared" si="3"/>
        <v>-1.4560301499999999</v>
      </c>
    </row>
    <row r="203" spans="1:3" x14ac:dyDescent="0.3">
      <c r="A203" s="22">
        <v>-4.7899999999999999E-6</v>
      </c>
      <c r="B203" s="22">
        <v>-2.1595477300000001E-3</v>
      </c>
      <c r="C203" s="22">
        <f t="shared" si="3"/>
        <v>-2.1595477299999999</v>
      </c>
    </row>
    <row r="204" spans="1:3" x14ac:dyDescent="0.3">
      <c r="A204" s="22">
        <v>-4.7849999999999999E-6</v>
      </c>
      <c r="B204" s="22">
        <v>-8.5301508100000005E-4</v>
      </c>
      <c r="C204" s="22">
        <f t="shared" si="3"/>
        <v>-0.85301508100000001</v>
      </c>
    </row>
    <row r="205" spans="1:3" x14ac:dyDescent="0.3">
      <c r="A205" s="22">
        <v>-4.78E-6</v>
      </c>
      <c r="B205" s="22">
        <v>-1.556532661E-3</v>
      </c>
      <c r="C205" s="22">
        <f t="shared" si="3"/>
        <v>-1.5565326609999999</v>
      </c>
    </row>
    <row r="206" spans="1:3" x14ac:dyDescent="0.3">
      <c r="A206" s="22">
        <v>-4.775E-6</v>
      </c>
      <c r="B206" s="22">
        <v>-2.1595477300000001E-3</v>
      </c>
      <c r="C206" s="22">
        <f t="shared" si="3"/>
        <v>-2.1595477299999999</v>
      </c>
    </row>
    <row r="207" spans="1:3" x14ac:dyDescent="0.3">
      <c r="A207" s="22">
        <v>-4.7700000000000001E-6</v>
      </c>
      <c r="B207" s="22">
        <v>-1.958542707E-3</v>
      </c>
      <c r="C207" s="22">
        <f t="shared" si="3"/>
        <v>-1.9585427069999999</v>
      </c>
    </row>
    <row r="208" spans="1:3" x14ac:dyDescent="0.3">
      <c r="A208" s="22">
        <v>-4.7650000000000001E-6</v>
      </c>
      <c r="B208" s="22">
        <v>-1.958542707E-3</v>
      </c>
      <c r="C208" s="22">
        <f t="shared" si="3"/>
        <v>-1.9585427069999999</v>
      </c>
    </row>
    <row r="209" spans="1:3" x14ac:dyDescent="0.3">
      <c r="A209" s="22">
        <v>-4.7600000000000002E-6</v>
      </c>
      <c r="B209" s="22">
        <v>-1.556532661E-3</v>
      </c>
      <c r="C209" s="22">
        <f t="shared" si="3"/>
        <v>-1.5565326609999999</v>
      </c>
    </row>
    <row r="210" spans="1:3" x14ac:dyDescent="0.3">
      <c r="A210" s="22">
        <v>-4.7550000000000002E-6</v>
      </c>
      <c r="B210" s="22">
        <v>-2.1595477300000001E-3</v>
      </c>
      <c r="C210" s="22">
        <f t="shared" si="3"/>
        <v>-2.1595477299999999</v>
      </c>
    </row>
    <row r="211" spans="1:3" x14ac:dyDescent="0.3">
      <c r="A211" s="22">
        <v>-4.7500000000000003E-6</v>
      </c>
      <c r="B211" s="22">
        <v>-1.556532661E-3</v>
      </c>
      <c r="C211" s="22">
        <f t="shared" si="3"/>
        <v>-1.5565326609999999</v>
      </c>
    </row>
    <row r="212" spans="1:3" x14ac:dyDescent="0.3">
      <c r="A212" s="22">
        <v>-4.7450000000000003E-6</v>
      </c>
      <c r="B212" s="22">
        <v>-1.4560301499999999E-3</v>
      </c>
      <c r="C212" s="22">
        <f t="shared" si="3"/>
        <v>-1.4560301499999999</v>
      </c>
    </row>
    <row r="213" spans="1:3" x14ac:dyDescent="0.3">
      <c r="A213" s="22">
        <v>-4.7400000000000004E-6</v>
      </c>
      <c r="B213" s="22">
        <v>-5.51507546E-4</v>
      </c>
      <c r="C213" s="22">
        <f t="shared" si="3"/>
        <v>-0.55150754599999996</v>
      </c>
    </row>
    <row r="214" spans="1:3" x14ac:dyDescent="0.3">
      <c r="A214" s="22">
        <v>-4.7350000000000004E-6</v>
      </c>
      <c r="B214" s="22">
        <v>8.5552761399999996E-4</v>
      </c>
      <c r="C214" s="22">
        <f t="shared" si="3"/>
        <v>0.85552761399999999</v>
      </c>
    </row>
    <row r="215" spans="1:3" x14ac:dyDescent="0.3">
      <c r="A215" s="22">
        <v>-4.7299999999999996E-6</v>
      </c>
      <c r="B215" s="22">
        <v>1.358040172E-3</v>
      </c>
      <c r="C215" s="22">
        <f t="shared" si="3"/>
        <v>1.3580401719999999</v>
      </c>
    </row>
    <row r="216" spans="1:3" x14ac:dyDescent="0.3">
      <c r="A216" s="22">
        <v>-4.7249999999999997E-6</v>
      </c>
      <c r="B216" s="22">
        <v>4.5351756900000002E-4</v>
      </c>
      <c r="C216" s="22">
        <f t="shared" si="3"/>
        <v>0.45351756900000001</v>
      </c>
    </row>
    <row r="217" spans="1:3" x14ac:dyDescent="0.3">
      <c r="A217" s="22">
        <v>-4.7199999999999997E-6</v>
      </c>
      <c r="B217" s="22">
        <v>5.5402008000000002E-4</v>
      </c>
      <c r="C217" s="22">
        <f t="shared" si="3"/>
        <v>0.55402008000000003</v>
      </c>
    </row>
    <row r="218" spans="1:3" x14ac:dyDescent="0.3">
      <c r="A218" s="22">
        <v>-4.7149999999999997E-6</v>
      </c>
      <c r="B218" s="22">
        <v>1.52010034E-4</v>
      </c>
      <c r="C218" s="22">
        <f t="shared" si="3"/>
        <v>0.15201003400000002</v>
      </c>
    </row>
    <row r="219" spans="1:3" x14ac:dyDescent="0.3">
      <c r="A219" s="22">
        <v>-4.7099999999999998E-6</v>
      </c>
      <c r="B219" s="22">
        <v>1.0565326370000001E-3</v>
      </c>
      <c r="C219" s="22">
        <f t="shared" si="3"/>
        <v>1.0565326370000001</v>
      </c>
    </row>
    <row r="220" spans="1:3" x14ac:dyDescent="0.3">
      <c r="A220" s="22">
        <v>-4.7049999999999998E-6</v>
      </c>
      <c r="B220" s="22">
        <v>9.56030126E-4</v>
      </c>
      <c r="C220" s="22">
        <f t="shared" si="3"/>
        <v>0.95603012600000004</v>
      </c>
    </row>
    <row r="221" spans="1:3" x14ac:dyDescent="0.3">
      <c r="A221" s="22">
        <v>-4.6999999999999999E-6</v>
      </c>
      <c r="B221" s="22">
        <v>9.56030126E-4</v>
      </c>
      <c r="C221" s="22">
        <f t="shared" si="3"/>
        <v>0.95603012600000004</v>
      </c>
    </row>
    <row r="222" spans="1:3" x14ac:dyDescent="0.3">
      <c r="A222" s="22">
        <v>-4.6949999999999999E-6</v>
      </c>
      <c r="B222" s="22">
        <v>8.5552761399999996E-4</v>
      </c>
      <c r="C222" s="22">
        <f t="shared" si="3"/>
        <v>0.85552761399999999</v>
      </c>
    </row>
    <row r="223" spans="1:3" x14ac:dyDescent="0.3">
      <c r="A223" s="22">
        <v>-4.69E-6</v>
      </c>
      <c r="B223" s="22">
        <v>1.6595477059999999E-3</v>
      </c>
      <c r="C223" s="22">
        <f t="shared" si="3"/>
        <v>1.6595477059999999</v>
      </c>
    </row>
    <row r="224" spans="1:3" x14ac:dyDescent="0.3">
      <c r="A224" s="22">
        <v>-4.685E-6</v>
      </c>
      <c r="B224" s="22">
        <v>2.1620602640000002E-3</v>
      </c>
      <c r="C224" s="22">
        <f t="shared" si="3"/>
        <v>2.1620602640000004</v>
      </c>
    </row>
    <row r="225" spans="1:3" x14ac:dyDescent="0.3">
      <c r="A225" s="22">
        <v>-4.6800000000000001E-6</v>
      </c>
      <c r="B225" s="22">
        <v>1.860552729E-3</v>
      </c>
      <c r="C225" s="22">
        <f t="shared" si="3"/>
        <v>1.8605527290000001</v>
      </c>
    </row>
    <row r="226" spans="1:3" x14ac:dyDescent="0.3">
      <c r="A226" s="22">
        <v>-4.6750000000000001E-6</v>
      </c>
      <c r="B226" s="22">
        <v>1.2575376599999999E-3</v>
      </c>
      <c r="C226" s="22">
        <f t="shared" si="3"/>
        <v>1.2575376599999999</v>
      </c>
    </row>
    <row r="227" spans="1:3" x14ac:dyDescent="0.3">
      <c r="A227" s="22">
        <v>-4.6700000000000002E-6</v>
      </c>
      <c r="B227" s="22">
        <v>2.0615577519999999E-3</v>
      </c>
      <c r="C227" s="22">
        <f t="shared" si="3"/>
        <v>2.0615577520000001</v>
      </c>
    </row>
    <row r="228" spans="1:3" x14ac:dyDescent="0.3">
      <c r="A228" s="22">
        <v>-4.6650000000000002E-6</v>
      </c>
      <c r="B228" s="22">
        <v>1.760050218E-3</v>
      </c>
      <c r="C228" s="22">
        <f t="shared" si="3"/>
        <v>1.7600502179999999</v>
      </c>
    </row>
    <row r="229" spans="1:3" x14ac:dyDescent="0.3">
      <c r="A229" s="22">
        <v>-4.6600000000000003E-6</v>
      </c>
      <c r="B229" s="22">
        <v>1.2575376599999999E-3</v>
      </c>
      <c r="C229" s="22">
        <f t="shared" si="3"/>
        <v>1.2575376599999999</v>
      </c>
    </row>
    <row r="230" spans="1:3" x14ac:dyDescent="0.3">
      <c r="A230" s="22">
        <v>-4.6550000000000003E-6</v>
      </c>
      <c r="B230" s="22">
        <v>1.860552729E-3</v>
      </c>
      <c r="C230" s="22">
        <f t="shared" si="3"/>
        <v>1.8605527290000001</v>
      </c>
    </row>
    <row r="231" spans="1:3" x14ac:dyDescent="0.3">
      <c r="A231" s="22">
        <v>-4.6500000000000004E-6</v>
      </c>
      <c r="B231" s="22">
        <v>1.760050218E-3</v>
      </c>
      <c r="C231" s="22">
        <f t="shared" si="3"/>
        <v>1.7600502179999999</v>
      </c>
    </row>
    <row r="232" spans="1:3" x14ac:dyDescent="0.3">
      <c r="A232" s="22">
        <v>-4.6450000000000004E-6</v>
      </c>
      <c r="B232" s="22">
        <v>1.0565326370000001E-3</v>
      </c>
      <c r="C232" s="22">
        <f t="shared" si="3"/>
        <v>1.0565326370000001</v>
      </c>
    </row>
    <row r="233" spans="1:3" x14ac:dyDescent="0.3">
      <c r="A233" s="22">
        <v>-4.6399999999999996E-6</v>
      </c>
      <c r="B233" s="22">
        <v>1.52010034E-4</v>
      </c>
      <c r="C233" s="22">
        <f t="shared" si="3"/>
        <v>0.15201003400000002</v>
      </c>
    </row>
    <row r="234" spans="1:3" x14ac:dyDescent="0.3">
      <c r="A234" s="22">
        <v>-4.6349999999999997E-6</v>
      </c>
      <c r="B234" s="22">
        <v>-5.51507546E-4</v>
      </c>
      <c r="C234" s="22">
        <f t="shared" si="3"/>
        <v>-0.55150754599999996</v>
      </c>
    </row>
    <row r="235" spans="1:3" x14ac:dyDescent="0.3">
      <c r="A235" s="22">
        <v>-4.6299999999999997E-6</v>
      </c>
      <c r="B235" s="22">
        <v>-3.5050252300000001E-4</v>
      </c>
      <c r="C235" s="22">
        <f t="shared" si="3"/>
        <v>-0.35050252300000001</v>
      </c>
    </row>
    <row r="236" spans="1:3" x14ac:dyDescent="0.3">
      <c r="A236" s="22">
        <v>-4.6249999999999998E-6</v>
      </c>
      <c r="B236" s="22">
        <v>-3.5050252300000001E-4</v>
      </c>
      <c r="C236" s="22">
        <f t="shared" si="3"/>
        <v>-0.35050252300000001</v>
      </c>
    </row>
    <row r="237" spans="1:3" x14ac:dyDescent="0.3">
      <c r="A237" s="22">
        <v>-4.6199999999999998E-6</v>
      </c>
      <c r="B237" s="22">
        <v>-6.5201005800000005E-4</v>
      </c>
      <c r="C237" s="22">
        <f t="shared" si="3"/>
        <v>-0.652010058</v>
      </c>
    </row>
    <row r="238" spans="1:3" x14ac:dyDescent="0.3">
      <c r="A238" s="22">
        <v>-4.6149999999999999E-6</v>
      </c>
      <c r="B238" s="22">
        <v>-1.4560301499999999E-3</v>
      </c>
      <c r="C238" s="22">
        <f t="shared" si="3"/>
        <v>-1.4560301499999999</v>
      </c>
    </row>
    <row r="239" spans="1:3" x14ac:dyDescent="0.3">
      <c r="A239" s="22">
        <v>-4.6099999999999999E-6</v>
      </c>
      <c r="B239" s="22">
        <v>-2.3605527530000002E-3</v>
      </c>
      <c r="C239" s="22">
        <f t="shared" si="3"/>
        <v>-2.3605527530000003</v>
      </c>
    </row>
    <row r="240" spans="1:3" x14ac:dyDescent="0.3">
      <c r="A240" s="22">
        <v>-4.605E-6</v>
      </c>
      <c r="B240" s="22">
        <v>-2.2600502419999999E-3</v>
      </c>
      <c r="C240" s="22">
        <f t="shared" si="3"/>
        <v>-2.2600502419999997</v>
      </c>
    </row>
    <row r="241" spans="1:3" x14ac:dyDescent="0.3">
      <c r="A241" s="22">
        <v>-4.6E-6</v>
      </c>
      <c r="B241" s="22">
        <v>-2.6620602880000001E-3</v>
      </c>
      <c r="C241" s="22">
        <f t="shared" si="3"/>
        <v>-2.6620602880000002</v>
      </c>
    </row>
    <row r="242" spans="1:3" x14ac:dyDescent="0.3">
      <c r="A242" s="22">
        <v>-4.5950000000000001E-6</v>
      </c>
      <c r="B242" s="22">
        <v>-2.2600502419999999E-3</v>
      </c>
      <c r="C242" s="22">
        <f t="shared" si="3"/>
        <v>-2.2600502419999997</v>
      </c>
    </row>
    <row r="243" spans="1:3" x14ac:dyDescent="0.3">
      <c r="A243" s="22">
        <v>-4.5900000000000001E-6</v>
      </c>
      <c r="B243" s="22">
        <v>-2.3605527530000002E-3</v>
      </c>
      <c r="C243" s="22">
        <f t="shared" si="3"/>
        <v>-2.3605527530000003</v>
      </c>
    </row>
    <row r="244" spans="1:3" x14ac:dyDescent="0.3">
      <c r="A244" s="22">
        <v>-4.5850000000000001E-6</v>
      </c>
      <c r="B244" s="22">
        <v>-2.6620602880000001E-3</v>
      </c>
      <c r="C244" s="22">
        <f t="shared" si="3"/>
        <v>-2.6620602880000002</v>
      </c>
    </row>
    <row r="245" spans="1:3" x14ac:dyDescent="0.3">
      <c r="A245" s="22">
        <v>-4.5800000000000002E-6</v>
      </c>
      <c r="B245" s="22">
        <v>-1.958542707E-3</v>
      </c>
      <c r="C245" s="22">
        <f t="shared" si="3"/>
        <v>-1.9585427069999999</v>
      </c>
    </row>
    <row r="246" spans="1:3" x14ac:dyDescent="0.3">
      <c r="A246" s="22">
        <v>-4.5750000000000002E-6</v>
      </c>
      <c r="B246" s="22">
        <v>-3.265075356E-3</v>
      </c>
      <c r="C246" s="22">
        <f t="shared" si="3"/>
        <v>-3.2650753560000001</v>
      </c>
    </row>
    <row r="247" spans="1:3" x14ac:dyDescent="0.3">
      <c r="A247" s="22">
        <v>-4.5700000000000003E-6</v>
      </c>
      <c r="B247" s="22">
        <v>-3.8680904249999998E-3</v>
      </c>
      <c r="C247" s="22">
        <f t="shared" si="3"/>
        <v>-3.8680904249999997</v>
      </c>
    </row>
    <row r="248" spans="1:3" x14ac:dyDescent="0.3">
      <c r="A248" s="22">
        <v>-4.5650000000000003E-6</v>
      </c>
      <c r="B248" s="22">
        <v>-4.1695979600000002E-3</v>
      </c>
      <c r="C248" s="22">
        <f t="shared" si="3"/>
        <v>-4.1695979599999999</v>
      </c>
    </row>
    <row r="249" spans="1:3" x14ac:dyDescent="0.3">
      <c r="A249" s="22">
        <v>-4.5600000000000004E-6</v>
      </c>
      <c r="B249" s="22">
        <v>-4.9736180519999998E-3</v>
      </c>
      <c r="C249" s="22">
        <f t="shared" si="3"/>
        <v>-4.973618052</v>
      </c>
    </row>
    <row r="250" spans="1:3" x14ac:dyDescent="0.3">
      <c r="A250" s="22">
        <v>-4.5549999999999996E-6</v>
      </c>
      <c r="B250" s="22">
        <v>-4.6721105170000003E-3</v>
      </c>
      <c r="C250" s="22">
        <f t="shared" si="3"/>
        <v>-4.6721105170000001</v>
      </c>
    </row>
    <row r="251" spans="1:3" x14ac:dyDescent="0.3">
      <c r="A251" s="22">
        <v>-4.5499999999999996E-6</v>
      </c>
      <c r="B251" s="22">
        <v>-3.9685929370000001E-3</v>
      </c>
      <c r="C251" s="22">
        <f t="shared" si="3"/>
        <v>-3.9685929369999999</v>
      </c>
    </row>
    <row r="252" spans="1:3" x14ac:dyDescent="0.3">
      <c r="A252" s="22">
        <v>-4.5449999999999997E-6</v>
      </c>
      <c r="B252" s="22">
        <v>-3.8680904249999998E-3</v>
      </c>
      <c r="C252" s="22">
        <f t="shared" si="3"/>
        <v>-3.8680904249999997</v>
      </c>
    </row>
    <row r="253" spans="1:3" x14ac:dyDescent="0.3">
      <c r="A253" s="22">
        <v>-4.5399999999999997E-6</v>
      </c>
      <c r="B253" s="22">
        <v>-4.3706029830000003E-3</v>
      </c>
      <c r="C253" s="22">
        <f t="shared" si="3"/>
        <v>-4.3706029830000004</v>
      </c>
    </row>
    <row r="254" spans="1:3" x14ac:dyDescent="0.3">
      <c r="A254" s="22">
        <v>-4.5349999999999998E-6</v>
      </c>
      <c r="B254" s="22">
        <v>-2.6620602880000001E-3</v>
      </c>
      <c r="C254" s="22">
        <f t="shared" si="3"/>
        <v>-2.6620602880000002</v>
      </c>
    </row>
    <row r="255" spans="1:3" x14ac:dyDescent="0.3">
      <c r="A255" s="22">
        <v>-4.5299999999999998E-6</v>
      </c>
      <c r="B255" s="22">
        <v>-2.963567822E-3</v>
      </c>
      <c r="C255" s="22">
        <f t="shared" si="3"/>
        <v>-2.9635678219999999</v>
      </c>
    </row>
    <row r="256" spans="1:3" x14ac:dyDescent="0.3">
      <c r="A256" s="22">
        <v>-4.5249999999999999E-6</v>
      </c>
      <c r="B256" s="22">
        <v>-2.3605527530000002E-3</v>
      </c>
      <c r="C256" s="22">
        <f t="shared" si="3"/>
        <v>-2.3605527530000003</v>
      </c>
    </row>
    <row r="257" spans="1:3" x14ac:dyDescent="0.3">
      <c r="A257" s="22">
        <v>-4.5199999999999999E-6</v>
      </c>
      <c r="B257" s="22">
        <v>-1.958542707E-3</v>
      </c>
      <c r="C257" s="22">
        <f t="shared" si="3"/>
        <v>-1.9585427069999999</v>
      </c>
    </row>
    <row r="258" spans="1:3" x14ac:dyDescent="0.3">
      <c r="A258" s="22">
        <v>-4.515E-6</v>
      </c>
      <c r="B258" s="22">
        <v>-1.958542707E-3</v>
      </c>
      <c r="C258" s="22">
        <f t="shared" si="3"/>
        <v>-1.9585427069999999</v>
      </c>
    </row>
    <row r="259" spans="1:3" x14ac:dyDescent="0.3">
      <c r="A259" s="22">
        <v>-4.51E-6</v>
      </c>
      <c r="B259" s="22">
        <v>-2.3605527530000002E-3</v>
      </c>
      <c r="C259" s="22">
        <f t="shared" si="3"/>
        <v>-2.3605527530000003</v>
      </c>
    </row>
    <row r="260" spans="1:3" x14ac:dyDescent="0.3">
      <c r="A260" s="22">
        <v>-4.5050000000000001E-6</v>
      </c>
      <c r="B260" s="22">
        <v>-1.556532661E-3</v>
      </c>
      <c r="C260" s="22">
        <f t="shared" ref="C260:C323" si="4">B260*10^3</f>
        <v>-1.5565326609999999</v>
      </c>
    </row>
    <row r="261" spans="1:3" x14ac:dyDescent="0.3">
      <c r="A261" s="22">
        <v>-4.5000000000000001E-6</v>
      </c>
      <c r="B261" s="22">
        <v>-1.556532661E-3</v>
      </c>
      <c r="C261" s="22">
        <f t="shared" si="4"/>
        <v>-1.5565326609999999</v>
      </c>
    </row>
    <row r="262" spans="1:3" x14ac:dyDescent="0.3">
      <c r="A262" s="22">
        <v>-4.4950000000000002E-6</v>
      </c>
      <c r="B262" s="22">
        <v>-1.3555276380000001E-3</v>
      </c>
      <c r="C262" s="22">
        <f t="shared" si="4"/>
        <v>-1.3555276380000001</v>
      </c>
    </row>
    <row r="263" spans="1:3" x14ac:dyDescent="0.3">
      <c r="A263" s="22">
        <v>-4.4900000000000002E-6</v>
      </c>
      <c r="B263" s="22">
        <v>-7.52512569E-4</v>
      </c>
      <c r="C263" s="22">
        <f t="shared" si="4"/>
        <v>-0.75251256899999996</v>
      </c>
    </row>
    <row r="264" spans="1:3" x14ac:dyDescent="0.3">
      <c r="A264" s="22">
        <v>-4.4850000000000003E-6</v>
      </c>
      <c r="B264" s="22">
        <v>-3.5050252300000001E-4</v>
      </c>
      <c r="C264" s="22">
        <f t="shared" si="4"/>
        <v>-0.35050252300000001</v>
      </c>
    </row>
    <row r="265" spans="1:3" x14ac:dyDescent="0.3">
      <c r="A265" s="22">
        <v>-4.4800000000000003E-6</v>
      </c>
      <c r="B265" s="22">
        <v>-1.4560301499999999E-3</v>
      </c>
      <c r="C265" s="22">
        <f t="shared" si="4"/>
        <v>-1.4560301499999999</v>
      </c>
    </row>
    <row r="266" spans="1:3" x14ac:dyDescent="0.3">
      <c r="A266" s="22">
        <v>-4.4750000000000004E-6</v>
      </c>
      <c r="B266" s="22">
        <v>-1.154522615E-3</v>
      </c>
      <c r="C266" s="22">
        <f t="shared" si="4"/>
        <v>-1.1545226150000001</v>
      </c>
    </row>
    <row r="267" spans="1:3" x14ac:dyDescent="0.3">
      <c r="A267" s="22">
        <v>-4.4700000000000004E-6</v>
      </c>
      <c r="B267" s="22">
        <v>-1.0540201039999999E-3</v>
      </c>
      <c r="C267" s="22">
        <f t="shared" si="4"/>
        <v>-1.0540201039999999</v>
      </c>
    </row>
    <row r="268" spans="1:3" x14ac:dyDescent="0.3">
      <c r="A268" s="22">
        <v>-4.4649999999999996E-6</v>
      </c>
      <c r="B268" s="22">
        <v>-8.5301508100000005E-4</v>
      </c>
      <c r="C268" s="22">
        <f t="shared" si="4"/>
        <v>-0.85301508100000001</v>
      </c>
    </row>
    <row r="269" spans="1:3" x14ac:dyDescent="0.3">
      <c r="A269" s="22">
        <v>-4.4599999999999996E-6</v>
      </c>
      <c r="B269" s="22">
        <v>-7.52512569E-4</v>
      </c>
      <c r="C269" s="22">
        <f t="shared" si="4"/>
        <v>-0.75251256899999996</v>
      </c>
    </row>
    <row r="270" spans="1:3" x14ac:dyDescent="0.3">
      <c r="A270" s="22">
        <v>-4.4549999999999997E-6</v>
      </c>
      <c r="B270" s="22">
        <v>-9.5351759199999999E-4</v>
      </c>
      <c r="C270" s="22">
        <f t="shared" si="4"/>
        <v>-0.95351759199999997</v>
      </c>
    </row>
    <row r="271" spans="1:3" x14ac:dyDescent="0.3">
      <c r="A271" s="22">
        <v>-4.4499999999999997E-6</v>
      </c>
      <c r="B271" s="22">
        <v>-1.0540201039999999E-3</v>
      </c>
      <c r="C271" s="22">
        <f t="shared" si="4"/>
        <v>-1.0540201039999999</v>
      </c>
    </row>
    <row r="272" spans="1:3" x14ac:dyDescent="0.3">
      <c r="A272" s="22">
        <v>-4.4449999999999998E-6</v>
      </c>
      <c r="B272" s="22">
        <v>-1.7575376840000001E-3</v>
      </c>
      <c r="C272" s="22">
        <f t="shared" si="4"/>
        <v>-1.7575376840000001</v>
      </c>
    </row>
    <row r="273" spans="1:3" x14ac:dyDescent="0.3">
      <c r="A273" s="22">
        <v>-4.4399999999999998E-6</v>
      </c>
      <c r="B273" s="22">
        <v>-1.154522615E-3</v>
      </c>
      <c r="C273" s="22">
        <f t="shared" si="4"/>
        <v>-1.1545226150000001</v>
      </c>
    </row>
    <row r="274" spans="1:3" x14ac:dyDescent="0.3">
      <c r="A274" s="22">
        <v>-4.4349999999999999E-6</v>
      </c>
      <c r="B274" s="22">
        <v>-1.8580401959999999E-3</v>
      </c>
      <c r="C274" s="22">
        <f t="shared" si="4"/>
        <v>-1.8580401959999999</v>
      </c>
    </row>
    <row r="275" spans="1:3" x14ac:dyDescent="0.3">
      <c r="A275" s="22">
        <v>-4.4299999999999999E-6</v>
      </c>
      <c r="B275" s="22">
        <v>-1.0540201039999999E-3</v>
      </c>
      <c r="C275" s="22">
        <f t="shared" si="4"/>
        <v>-1.0540201039999999</v>
      </c>
    </row>
    <row r="276" spans="1:3" x14ac:dyDescent="0.3">
      <c r="A276" s="22">
        <v>-4.425E-6</v>
      </c>
      <c r="B276" s="22">
        <v>-1.154522615E-3</v>
      </c>
      <c r="C276" s="22">
        <f t="shared" si="4"/>
        <v>-1.1545226150000001</v>
      </c>
    </row>
    <row r="277" spans="1:3" x14ac:dyDescent="0.3">
      <c r="A277" s="22">
        <v>-4.42E-6</v>
      </c>
      <c r="B277" s="22">
        <v>-7.52512569E-4</v>
      </c>
      <c r="C277" s="22">
        <f t="shared" si="4"/>
        <v>-0.75251256899999996</v>
      </c>
    </row>
    <row r="278" spans="1:3" x14ac:dyDescent="0.3">
      <c r="A278" s="22">
        <v>-4.4150000000000001E-6</v>
      </c>
      <c r="B278" s="22">
        <v>-1.3555276380000001E-3</v>
      </c>
      <c r="C278" s="22">
        <f t="shared" si="4"/>
        <v>-1.3555276380000001</v>
      </c>
    </row>
    <row r="279" spans="1:3" x14ac:dyDescent="0.3">
      <c r="A279" s="22">
        <v>-4.4100000000000001E-6</v>
      </c>
      <c r="B279" s="22">
        <v>-3.5050252300000001E-4</v>
      </c>
      <c r="C279" s="22">
        <f t="shared" si="4"/>
        <v>-0.35050252300000001</v>
      </c>
    </row>
    <row r="280" spans="1:3" x14ac:dyDescent="0.3">
      <c r="A280" s="22">
        <v>-4.4050000000000002E-6</v>
      </c>
      <c r="B280" s="22">
        <v>-1.3555276380000001E-3</v>
      </c>
      <c r="C280" s="22">
        <f t="shared" si="4"/>
        <v>-1.3555276380000001</v>
      </c>
    </row>
    <row r="281" spans="1:3" x14ac:dyDescent="0.3">
      <c r="A281" s="22">
        <v>-4.4000000000000002E-6</v>
      </c>
      <c r="B281" s="22">
        <v>-7.52512569E-4</v>
      </c>
      <c r="C281" s="22">
        <f t="shared" si="4"/>
        <v>-0.75251256899999996</v>
      </c>
    </row>
    <row r="282" spans="1:3" x14ac:dyDescent="0.3">
      <c r="A282" s="22">
        <v>-4.3950000000000003E-6</v>
      </c>
      <c r="B282" s="22">
        <v>-1.4949749999999999E-4</v>
      </c>
      <c r="C282" s="22">
        <f t="shared" si="4"/>
        <v>-0.14949749999999998</v>
      </c>
    </row>
    <row r="283" spans="1:3" x14ac:dyDescent="0.3">
      <c r="A283" s="22">
        <v>-4.3900000000000003E-6</v>
      </c>
      <c r="B283" s="22">
        <v>-6.5201005800000005E-4</v>
      </c>
      <c r="C283" s="22">
        <f t="shared" si="4"/>
        <v>-0.652010058</v>
      </c>
    </row>
    <row r="284" spans="1:3" x14ac:dyDescent="0.3">
      <c r="A284" s="22">
        <v>-4.3850000000000004E-6</v>
      </c>
      <c r="B284" s="22">
        <v>1.52010034E-4</v>
      </c>
      <c r="C284" s="22">
        <f t="shared" si="4"/>
        <v>0.15201003400000002</v>
      </c>
    </row>
    <row r="285" spans="1:3" x14ac:dyDescent="0.3">
      <c r="A285" s="22">
        <v>-4.3800000000000004E-6</v>
      </c>
      <c r="B285" s="22">
        <v>1.52010034E-4</v>
      </c>
      <c r="C285" s="22">
        <f t="shared" si="4"/>
        <v>0.15201003400000002</v>
      </c>
    </row>
    <row r="286" spans="1:3" x14ac:dyDescent="0.3">
      <c r="A286" s="22">
        <v>-4.3749999999999996E-6</v>
      </c>
      <c r="B286" s="22">
        <v>5.1507522999999997E-5</v>
      </c>
      <c r="C286" s="22">
        <f t="shared" si="4"/>
        <v>5.1507523E-2</v>
      </c>
    </row>
    <row r="287" spans="1:3" x14ac:dyDescent="0.3">
      <c r="A287" s="22">
        <v>-4.3699999999999997E-6</v>
      </c>
      <c r="B287" s="22">
        <v>2.5251254600000002E-4</v>
      </c>
      <c r="C287" s="22">
        <f t="shared" si="4"/>
        <v>0.252512546</v>
      </c>
    </row>
    <row r="288" spans="1:3" x14ac:dyDescent="0.3">
      <c r="A288" s="22">
        <v>-4.3649999999999997E-6</v>
      </c>
      <c r="B288" s="22">
        <v>9.56030126E-4</v>
      </c>
      <c r="C288" s="22">
        <f t="shared" si="4"/>
        <v>0.95603012600000004</v>
      </c>
    </row>
    <row r="289" spans="1:3" x14ac:dyDescent="0.3">
      <c r="A289" s="22">
        <v>-4.3599999999999998E-6</v>
      </c>
      <c r="B289" s="22">
        <v>9.56030126E-4</v>
      </c>
      <c r="C289" s="22">
        <f t="shared" si="4"/>
        <v>0.95603012600000004</v>
      </c>
    </row>
    <row r="290" spans="1:3" x14ac:dyDescent="0.3">
      <c r="A290" s="22">
        <v>-4.3549999999999998E-6</v>
      </c>
      <c r="B290" s="22">
        <v>5.5402008000000002E-4</v>
      </c>
      <c r="C290" s="22">
        <f t="shared" si="4"/>
        <v>0.55402008000000003</v>
      </c>
    </row>
    <row r="291" spans="1:3" x14ac:dyDescent="0.3">
      <c r="A291" s="22">
        <v>-4.3499999999999999E-6</v>
      </c>
      <c r="B291" s="22">
        <v>5.5402008000000002E-4</v>
      </c>
      <c r="C291" s="22">
        <f t="shared" si="4"/>
        <v>0.55402008000000003</v>
      </c>
    </row>
    <row r="292" spans="1:3" x14ac:dyDescent="0.3">
      <c r="A292" s="22">
        <v>-4.3449999999999999E-6</v>
      </c>
      <c r="B292" s="22">
        <v>3.5301505700000002E-4</v>
      </c>
      <c r="C292" s="22">
        <f t="shared" si="4"/>
        <v>0.35301505700000002</v>
      </c>
    </row>
    <row r="293" spans="1:3" x14ac:dyDescent="0.3">
      <c r="A293" s="22">
        <v>-4.34E-6</v>
      </c>
      <c r="B293" s="22">
        <v>5.5402008000000002E-4</v>
      </c>
      <c r="C293" s="22">
        <f t="shared" si="4"/>
        <v>0.55402008000000003</v>
      </c>
    </row>
    <row r="294" spans="1:3" x14ac:dyDescent="0.3">
      <c r="A294" s="22">
        <v>-4.335E-6</v>
      </c>
      <c r="B294" s="22">
        <v>4.5351756900000002E-4</v>
      </c>
      <c r="C294" s="22">
        <f t="shared" si="4"/>
        <v>0.45351756900000001</v>
      </c>
    </row>
    <row r="295" spans="1:3" x14ac:dyDescent="0.3">
      <c r="A295" s="22">
        <v>-4.33E-6</v>
      </c>
      <c r="B295" s="22">
        <v>5.5402008000000002E-4</v>
      </c>
      <c r="C295" s="22">
        <f t="shared" si="4"/>
        <v>0.55402008000000003</v>
      </c>
    </row>
    <row r="296" spans="1:3" x14ac:dyDescent="0.3">
      <c r="A296" s="22">
        <v>-4.3250000000000001E-6</v>
      </c>
      <c r="B296" s="22">
        <v>8.5552761399999996E-4</v>
      </c>
      <c r="C296" s="22">
        <f t="shared" si="4"/>
        <v>0.85552761399999999</v>
      </c>
    </row>
    <row r="297" spans="1:3" x14ac:dyDescent="0.3">
      <c r="A297" s="22">
        <v>-4.3200000000000001E-6</v>
      </c>
      <c r="B297" s="22">
        <v>1.0565326370000001E-3</v>
      </c>
      <c r="C297" s="22">
        <f t="shared" si="4"/>
        <v>1.0565326370000001</v>
      </c>
    </row>
    <row r="298" spans="1:3" x14ac:dyDescent="0.3">
      <c r="A298" s="22">
        <v>-4.3150000000000002E-6</v>
      </c>
      <c r="B298" s="22">
        <v>5.5402008000000002E-4</v>
      </c>
      <c r="C298" s="22">
        <f t="shared" si="4"/>
        <v>0.55402008000000003</v>
      </c>
    </row>
    <row r="299" spans="1:3" x14ac:dyDescent="0.3">
      <c r="A299" s="22">
        <v>-4.3100000000000002E-6</v>
      </c>
      <c r="B299" s="22">
        <v>-1.4949749999999999E-4</v>
      </c>
      <c r="C299" s="22">
        <f t="shared" si="4"/>
        <v>-0.14949749999999998</v>
      </c>
    </row>
    <row r="300" spans="1:3" x14ac:dyDescent="0.3">
      <c r="A300" s="22">
        <v>-4.3050000000000003E-6</v>
      </c>
      <c r="B300" s="22">
        <v>5.1507522999999997E-5</v>
      </c>
      <c r="C300" s="22">
        <f t="shared" si="4"/>
        <v>5.1507523E-2</v>
      </c>
    </row>
    <row r="301" spans="1:3" x14ac:dyDescent="0.3">
      <c r="A301" s="22">
        <v>-4.3000000000000003E-6</v>
      </c>
      <c r="B301" s="22">
        <v>-1.4560301499999999E-3</v>
      </c>
      <c r="C301" s="22">
        <f t="shared" si="4"/>
        <v>-1.4560301499999999</v>
      </c>
    </row>
    <row r="302" spans="1:3" x14ac:dyDescent="0.3">
      <c r="A302" s="22">
        <v>-4.2950000000000004E-6</v>
      </c>
      <c r="B302" s="22">
        <v>-2.1595477300000001E-3</v>
      </c>
      <c r="C302" s="22">
        <f t="shared" si="4"/>
        <v>-2.1595477299999999</v>
      </c>
    </row>
    <row r="303" spans="1:3" x14ac:dyDescent="0.3">
      <c r="A303" s="22">
        <v>-4.2899999999999996E-6</v>
      </c>
      <c r="B303" s="22">
        <v>-1.4560301499999999E-3</v>
      </c>
      <c r="C303" s="22">
        <f t="shared" si="4"/>
        <v>-1.4560301499999999</v>
      </c>
    </row>
    <row r="304" spans="1:3" x14ac:dyDescent="0.3">
      <c r="A304" s="22">
        <v>-4.2849999999999996E-6</v>
      </c>
      <c r="B304" s="22">
        <v>-2.2600502419999999E-3</v>
      </c>
      <c r="C304" s="22">
        <f t="shared" si="4"/>
        <v>-2.2600502419999997</v>
      </c>
    </row>
    <row r="305" spans="1:3" x14ac:dyDescent="0.3">
      <c r="A305" s="22">
        <v>-4.2799999999999997E-6</v>
      </c>
      <c r="B305" s="22">
        <v>-2.6620602880000001E-3</v>
      </c>
      <c r="C305" s="22">
        <f t="shared" si="4"/>
        <v>-2.6620602880000002</v>
      </c>
    </row>
    <row r="306" spans="1:3" x14ac:dyDescent="0.3">
      <c r="A306" s="22">
        <v>-4.2749999999999997E-6</v>
      </c>
      <c r="B306" s="22">
        <v>-3.3655778679999998E-3</v>
      </c>
      <c r="C306" s="22">
        <f t="shared" si="4"/>
        <v>-3.3655778679999999</v>
      </c>
    </row>
    <row r="307" spans="1:3" x14ac:dyDescent="0.3">
      <c r="A307" s="22">
        <v>-4.2699999999999998E-6</v>
      </c>
      <c r="B307" s="22">
        <v>-4.1695979600000002E-3</v>
      </c>
      <c r="C307" s="22">
        <f t="shared" si="4"/>
        <v>-4.1695979599999999</v>
      </c>
    </row>
    <row r="308" spans="1:3" x14ac:dyDescent="0.3">
      <c r="A308" s="22">
        <v>-4.2649999999999998E-6</v>
      </c>
      <c r="B308" s="22">
        <v>-3.767587914E-3</v>
      </c>
      <c r="C308" s="22">
        <f t="shared" si="4"/>
        <v>-3.7675879139999999</v>
      </c>
    </row>
    <row r="309" spans="1:3" x14ac:dyDescent="0.3">
      <c r="A309" s="22">
        <v>-4.2599999999999999E-6</v>
      </c>
      <c r="B309" s="22">
        <v>-3.4660803790000001E-3</v>
      </c>
      <c r="C309" s="22">
        <f t="shared" si="4"/>
        <v>-3.4660803790000001</v>
      </c>
    </row>
    <row r="310" spans="1:3" x14ac:dyDescent="0.3">
      <c r="A310" s="22">
        <v>-4.2549999999999999E-6</v>
      </c>
      <c r="B310" s="22">
        <v>-4.2701004710000001E-3</v>
      </c>
      <c r="C310" s="22">
        <f t="shared" si="4"/>
        <v>-4.2701004710000001</v>
      </c>
    </row>
    <row r="311" spans="1:3" x14ac:dyDescent="0.3">
      <c r="A311" s="22">
        <v>-4.25E-6</v>
      </c>
      <c r="B311" s="22">
        <v>-4.3706029830000003E-3</v>
      </c>
      <c r="C311" s="22">
        <f t="shared" si="4"/>
        <v>-4.3706029830000004</v>
      </c>
    </row>
    <row r="312" spans="1:3" x14ac:dyDescent="0.3">
      <c r="A312" s="22">
        <v>-4.245E-6</v>
      </c>
      <c r="B312" s="22">
        <v>-3.8680904249999998E-3</v>
      </c>
      <c r="C312" s="22">
        <f t="shared" si="4"/>
        <v>-3.8680904249999997</v>
      </c>
    </row>
    <row r="313" spans="1:3" x14ac:dyDescent="0.3">
      <c r="A313" s="22">
        <v>-4.2400000000000001E-6</v>
      </c>
      <c r="B313" s="22">
        <v>-5.0741205629999996E-3</v>
      </c>
      <c r="C313" s="22">
        <f t="shared" si="4"/>
        <v>-5.0741205629999993</v>
      </c>
    </row>
    <row r="314" spans="1:3" x14ac:dyDescent="0.3">
      <c r="A314" s="22">
        <v>-4.2350000000000001E-6</v>
      </c>
      <c r="B314" s="22">
        <v>-4.6721105170000003E-3</v>
      </c>
      <c r="C314" s="22">
        <f t="shared" si="4"/>
        <v>-4.6721105170000001</v>
      </c>
    </row>
    <row r="315" spans="1:3" x14ac:dyDescent="0.3">
      <c r="A315" s="22">
        <v>-4.2300000000000002E-6</v>
      </c>
      <c r="B315" s="22">
        <v>-4.6721105170000003E-3</v>
      </c>
      <c r="C315" s="22">
        <f t="shared" si="4"/>
        <v>-4.6721105170000001</v>
      </c>
    </row>
    <row r="316" spans="1:3" x14ac:dyDescent="0.3">
      <c r="A316" s="22">
        <v>-4.2250000000000002E-6</v>
      </c>
      <c r="B316" s="22">
        <v>-5.0741205629999996E-3</v>
      </c>
      <c r="C316" s="22">
        <f t="shared" si="4"/>
        <v>-5.0741205629999993</v>
      </c>
    </row>
    <row r="317" spans="1:3" x14ac:dyDescent="0.3">
      <c r="A317" s="22">
        <v>-4.2200000000000003E-6</v>
      </c>
      <c r="B317" s="22">
        <v>-4.6721105170000003E-3</v>
      </c>
      <c r="C317" s="22">
        <f t="shared" si="4"/>
        <v>-4.6721105170000001</v>
      </c>
    </row>
    <row r="318" spans="1:3" x14ac:dyDescent="0.3">
      <c r="A318" s="22">
        <v>-4.2150000000000003E-6</v>
      </c>
      <c r="B318" s="22">
        <v>-4.2701004710000001E-3</v>
      </c>
      <c r="C318" s="22">
        <f t="shared" si="4"/>
        <v>-4.2701004710000001</v>
      </c>
    </row>
    <row r="319" spans="1:3" x14ac:dyDescent="0.3">
      <c r="A319" s="22">
        <v>-4.2100000000000003E-6</v>
      </c>
      <c r="B319" s="22">
        <v>-3.9685929370000001E-3</v>
      </c>
      <c r="C319" s="22">
        <f t="shared" si="4"/>
        <v>-3.9685929369999999</v>
      </c>
    </row>
    <row r="320" spans="1:3" x14ac:dyDescent="0.3">
      <c r="A320" s="22">
        <v>-4.2050000000000004E-6</v>
      </c>
      <c r="B320" s="22">
        <v>-3.1645728450000001E-3</v>
      </c>
      <c r="C320" s="22">
        <f t="shared" si="4"/>
        <v>-3.1645728450000004</v>
      </c>
    </row>
    <row r="321" spans="1:3" x14ac:dyDescent="0.3">
      <c r="A321" s="22">
        <v>-4.1999999999999996E-6</v>
      </c>
      <c r="B321" s="22">
        <v>-3.767587914E-3</v>
      </c>
      <c r="C321" s="22">
        <f t="shared" si="4"/>
        <v>-3.7675879139999999</v>
      </c>
    </row>
    <row r="322" spans="1:3" x14ac:dyDescent="0.3">
      <c r="A322" s="22">
        <v>-4.1949999999999996E-6</v>
      </c>
      <c r="B322" s="22">
        <v>-3.8680904249999998E-3</v>
      </c>
      <c r="C322" s="22">
        <f t="shared" si="4"/>
        <v>-3.8680904249999997</v>
      </c>
    </row>
    <row r="323" spans="1:3" x14ac:dyDescent="0.3">
      <c r="A323" s="22">
        <v>-4.1899999999999997E-6</v>
      </c>
      <c r="B323" s="22">
        <v>-3.4660803790000001E-3</v>
      </c>
      <c r="C323" s="22">
        <f t="shared" si="4"/>
        <v>-3.4660803790000001</v>
      </c>
    </row>
    <row r="324" spans="1:3" x14ac:dyDescent="0.3">
      <c r="A324" s="22">
        <v>-4.1849999999999997E-6</v>
      </c>
      <c r="B324" s="22">
        <v>-1.8580401959999999E-3</v>
      </c>
      <c r="C324" s="22">
        <f t="shared" ref="C324:C387" si="5">B324*10^3</f>
        <v>-1.8580401959999999</v>
      </c>
    </row>
    <row r="325" spans="1:3" x14ac:dyDescent="0.3">
      <c r="A325" s="22">
        <v>-4.1799999999999998E-6</v>
      </c>
      <c r="B325" s="22">
        <v>-1.154522615E-3</v>
      </c>
      <c r="C325" s="22">
        <f t="shared" si="5"/>
        <v>-1.1545226150000001</v>
      </c>
    </row>
    <row r="326" spans="1:3" x14ac:dyDescent="0.3">
      <c r="A326" s="22">
        <v>-4.1749999999999998E-6</v>
      </c>
      <c r="B326" s="22">
        <v>-5.51507546E-4</v>
      </c>
      <c r="C326" s="22">
        <f t="shared" si="5"/>
        <v>-0.55150754599999996</v>
      </c>
    </row>
    <row r="327" spans="1:3" x14ac:dyDescent="0.3">
      <c r="A327" s="22">
        <v>-4.1699999999999999E-6</v>
      </c>
      <c r="B327" s="22">
        <v>-5.51507546E-4</v>
      </c>
      <c r="C327" s="22">
        <f t="shared" si="5"/>
        <v>-0.55150754599999996</v>
      </c>
    </row>
    <row r="328" spans="1:3" x14ac:dyDescent="0.3">
      <c r="A328" s="22">
        <v>-4.1649999999999999E-6</v>
      </c>
      <c r="B328" s="22">
        <v>1.52010034E-4</v>
      </c>
      <c r="C328" s="22">
        <f t="shared" si="5"/>
        <v>0.15201003400000002</v>
      </c>
    </row>
    <row r="329" spans="1:3" x14ac:dyDescent="0.3">
      <c r="A329" s="22">
        <v>-4.16E-6</v>
      </c>
      <c r="B329" s="22">
        <v>-9.5351759199999999E-4</v>
      </c>
      <c r="C329" s="22">
        <f t="shared" si="5"/>
        <v>-0.95351759199999997</v>
      </c>
    </row>
    <row r="330" spans="1:3" x14ac:dyDescent="0.3">
      <c r="A330" s="22">
        <v>-4.155E-6</v>
      </c>
      <c r="B330" s="22">
        <v>-7.52512569E-4</v>
      </c>
      <c r="C330" s="22">
        <f t="shared" si="5"/>
        <v>-0.75251256899999996</v>
      </c>
    </row>
    <row r="331" spans="1:3" x14ac:dyDescent="0.3">
      <c r="A331" s="22">
        <v>-4.1500000000000001E-6</v>
      </c>
      <c r="B331" s="22">
        <v>-6.5201005800000005E-4</v>
      </c>
      <c r="C331" s="22">
        <f t="shared" si="5"/>
        <v>-0.652010058</v>
      </c>
    </row>
    <row r="332" spans="1:3" x14ac:dyDescent="0.3">
      <c r="A332" s="22">
        <v>-4.1450000000000001E-6</v>
      </c>
      <c r="B332" s="22">
        <v>-1.556532661E-3</v>
      </c>
      <c r="C332" s="22">
        <f t="shared" si="5"/>
        <v>-1.5565326609999999</v>
      </c>
    </row>
    <row r="333" spans="1:3" x14ac:dyDescent="0.3">
      <c r="A333" s="22">
        <v>-4.1400000000000002E-6</v>
      </c>
      <c r="B333" s="22">
        <v>-1.8580401959999999E-3</v>
      </c>
      <c r="C333" s="22">
        <f t="shared" si="5"/>
        <v>-1.8580401959999999</v>
      </c>
    </row>
    <row r="334" spans="1:3" x14ac:dyDescent="0.3">
      <c r="A334" s="22">
        <v>-4.1350000000000002E-6</v>
      </c>
      <c r="B334" s="22">
        <v>-1.0540201039999999E-3</v>
      </c>
      <c r="C334" s="22">
        <f t="shared" si="5"/>
        <v>-1.0540201039999999</v>
      </c>
    </row>
    <row r="335" spans="1:3" x14ac:dyDescent="0.3">
      <c r="A335" s="22">
        <v>-4.1300000000000003E-6</v>
      </c>
      <c r="B335" s="22">
        <v>-9.5351759199999999E-4</v>
      </c>
      <c r="C335" s="22">
        <f t="shared" si="5"/>
        <v>-0.95351759199999997</v>
      </c>
    </row>
    <row r="336" spans="1:3" x14ac:dyDescent="0.3">
      <c r="A336" s="22">
        <v>-4.1250000000000003E-6</v>
      </c>
      <c r="B336" s="22">
        <v>-1.4560301499999999E-3</v>
      </c>
      <c r="C336" s="22">
        <f t="shared" si="5"/>
        <v>-1.4560301499999999</v>
      </c>
    </row>
    <row r="337" spans="1:3" x14ac:dyDescent="0.3">
      <c r="A337" s="22">
        <v>-4.1200000000000004E-6</v>
      </c>
      <c r="B337" s="22">
        <v>-6.5201005800000005E-4</v>
      </c>
      <c r="C337" s="22">
        <f t="shared" si="5"/>
        <v>-0.652010058</v>
      </c>
    </row>
    <row r="338" spans="1:3" x14ac:dyDescent="0.3">
      <c r="A338" s="22">
        <v>-4.1150000000000004E-6</v>
      </c>
      <c r="B338" s="22">
        <v>-1.8580401959999999E-3</v>
      </c>
      <c r="C338" s="22">
        <f t="shared" si="5"/>
        <v>-1.8580401959999999</v>
      </c>
    </row>
    <row r="339" spans="1:3" x14ac:dyDescent="0.3">
      <c r="A339" s="22">
        <v>-4.1099999999999996E-6</v>
      </c>
      <c r="B339" s="22">
        <v>-2.7625627989999999E-3</v>
      </c>
      <c r="C339" s="22">
        <f t="shared" si="5"/>
        <v>-2.7625627989999999</v>
      </c>
    </row>
    <row r="340" spans="1:3" x14ac:dyDescent="0.3">
      <c r="A340" s="22">
        <v>-4.1049999999999997E-6</v>
      </c>
      <c r="B340" s="22">
        <v>-1.556532661E-3</v>
      </c>
      <c r="C340" s="22">
        <f t="shared" si="5"/>
        <v>-1.5565326609999999</v>
      </c>
    </row>
    <row r="341" spans="1:3" x14ac:dyDescent="0.3">
      <c r="A341" s="22">
        <v>-4.0999999999999997E-6</v>
      </c>
      <c r="B341" s="22">
        <v>-2.2600502419999999E-3</v>
      </c>
      <c r="C341" s="22">
        <f t="shared" si="5"/>
        <v>-2.2600502419999997</v>
      </c>
    </row>
    <row r="342" spans="1:3" x14ac:dyDescent="0.3">
      <c r="A342" s="22">
        <v>-4.0949999999999998E-6</v>
      </c>
      <c r="B342" s="22">
        <v>-2.2600502419999999E-3</v>
      </c>
      <c r="C342" s="22">
        <f t="shared" si="5"/>
        <v>-2.2600502419999997</v>
      </c>
    </row>
    <row r="343" spans="1:3" x14ac:dyDescent="0.3">
      <c r="A343" s="22">
        <v>-4.0899999999999998E-6</v>
      </c>
      <c r="B343" s="22">
        <v>-1.556532661E-3</v>
      </c>
      <c r="C343" s="22">
        <f t="shared" si="5"/>
        <v>-1.5565326609999999</v>
      </c>
    </row>
    <row r="344" spans="1:3" x14ac:dyDescent="0.3">
      <c r="A344" s="22">
        <v>-4.0849999999999999E-6</v>
      </c>
      <c r="B344" s="22">
        <v>-2.2600502419999999E-3</v>
      </c>
      <c r="C344" s="22">
        <f t="shared" si="5"/>
        <v>-2.2600502419999997</v>
      </c>
    </row>
    <row r="345" spans="1:3" x14ac:dyDescent="0.3">
      <c r="A345" s="22">
        <v>-4.0799999999999999E-6</v>
      </c>
      <c r="B345" s="22">
        <v>-1.8580401959999999E-3</v>
      </c>
      <c r="C345" s="22">
        <f t="shared" si="5"/>
        <v>-1.8580401959999999</v>
      </c>
    </row>
    <row r="346" spans="1:3" x14ac:dyDescent="0.3">
      <c r="A346" s="22">
        <v>-4.0749999999999999E-6</v>
      </c>
      <c r="B346" s="22">
        <v>-1.8580401959999999E-3</v>
      </c>
      <c r="C346" s="22">
        <f t="shared" si="5"/>
        <v>-1.8580401959999999</v>
      </c>
    </row>
    <row r="347" spans="1:3" x14ac:dyDescent="0.3">
      <c r="A347" s="22">
        <v>-4.07E-6</v>
      </c>
      <c r="B347" s="22">
        <v>-3.0640703329999999E-3</v>
      </c>
      <c r="C347" s="22">
        <f t="shared" si="5"/>
        <v>-3.0640703330000001</v>
      </c>
    </row>
    <row r="348" spans="1:3" x14ac:dyDescent="0.3">
      <c r="A348" s="22">
        <v>-4.065E-6</v>
      </c>
      <c r="B348" s="22">
        <v>-1.958542707E-3</v>
      </c>
      <c r="C348" s="22">
        <f t="shared" si="5"/>
        <v>-1.9585427069999999</v>
      </c>
    </row>
    <row r="349" spans="1:3" x14ac:dyDescent="0.3">
      <c r="A349" s="22">
        <v>-4.0600000000000001E-6</v>
      </c>
      <c r="B349" s="22">
        <v>-7.52512569E-4</v>
      </c>
      <c r="C349" s="22">
        <f t="shared" si="5"/>
        <v>-0.75251256899999996</v>
      </c>
    </row>
    <row r="350" spans="1:3" x14ac:dyDescent="0.3">
      <c r="A350" s="22">
        <v>-4.0550000000000001E-6</v>
      </c>
      <c r="B350" s="22">
        <v>-1.255025127E-3</v>
      </c>
      <c r="C350" s="22">
        <f t="shared" si="5"/>
        <v>-1.2550251270000001</v>
      </c>
    </row>
    <row r="351" spans="1:3" x14ac:dyDescent="0.3">
      <c r="A351" s="22">
        <v>-4.0500000000000002E-6</v>
      </c>
      <c r="B351" s="22">
        <v>-1.0540201039999999E-3</v>
      </c>
      <c r="C351" s="22">
        <f t="shared" si="5"/>
        <v>-1.0540201039999999</v>
      </c>
    </row>
    <row r="352" spans="1:3" x14ac:dyDescent="0.3">
      <c r="A352" s="22">
        <v>-4.0450000000000002E-6</v>
      </c>
      <c r="B352" s="22">
        <v>-2.5000001200000001E-4</v>
      </c>
      <c r="C352" s="22">
        <f t="shared" si="5"/>
        <v>-0.25000001199999999</v>
      </c>
    </row>
    <row r="353" spans="1:3" x14ac:dyDescent="0.3">
      <c r="A353" s="22">
        <v>-4.0400000000000003E-6</v>
      </c>
      <c r="B353" s="22">
        <v>-1.4949749999999999E-4</v>
      </c>
      <c r="C353" s="22">
        <f t="shared" si="5"/>
        <v>-0.14949749999999998</v>
      </c>
    </row>
    <row r="354" spans="1:3" x14ac:dyDescent="0.3">
      <c r="A354" s="22">
        <v>-4.0350000000000003E-6</v>
      </c>
      <c r="B354" s="22">
        <v>4.5351756900000002E-4</v>
      </c>
      <c r="C354" s="22">
        <f t="shared" si="5"/>
        <v>0.45351756900000001</v>
      </c>
    </row>
    <row r="355" spans="1:3" x14ac:dyDescent="0.3">
      <c r="A355" s="22">
        <v>-4.0300000000000004E-6</v>
      </c>
      <c r="B355" s="22">
        <v>8.5552761399999996E-4</v>
      </c>
      <c r="C355" s="22">
        <f t="shared" si="5"/>
        <v>0.85552761399999999</v>
      </c>
    </row>
    <row r="356" spans="1:3" x14ac:dyDescent="0.3">
      <c r="A356" s="22">
        <v>-4.0249999999999996E-6</v>
      </c>
      <c r="B356" s="22">
        <v>5.1507522999999997E-5</v>
      </c>
      <c r="C356" s="22">
        <f t="shared" si="5"/>
        <v>5.1507523E-2</v>
      </c>
    </row>
    <row r="357" spans="1:3" x14ac:dyDescent="0.3">
      <c r="A357" s="22">
        <v>-4.0199999999999996E-6</v>
      </c>
      <c r="B357" s="22">
        <v>3.5301505700000002E-4</v>
      </c>
      <c r="C357" s="22">
        <f t="shared" si="5"/>
        <v>0.35301505700000002</v>
      </c>
    </row>
    <row r="358" spans="1:3" x14ac:dyDescent="0.3">
      <c r="A358" s="22">
        <v>-4.0149999999999997E-6</v>
      </c>
      <c r="B358" s="22">
        <v>-3.5050252300000001E-4</v>
      </c>
      <c r="C358" s="22">
        <f t="shared" si="5"/>
        <v>-0.35050252300000001</v>
      </c>
    </row>
    <row r="359" spans="1:3" x14ac:dyDescent="0.3">
      <c r="A359" s="22">
        <v>-4.0099999999999997E-6</v>
      </c>
      <c r="B359" s="22">
        <v>-2.5000001200000001E-4</v>
      </c>
      <c r="C359" s="22">
        <f t="shared" si="5"/>
        <v>-0.25000001199999999</v>
      </c>
    </row>
    <row r="360" spans="1:3" x14ac:dyDescent="0.3">
      <c r="A360" s="22">
        <v>-4.0049999999999998E-6</v>
      </c>
      <c r="B360" s="22">
        <v>8.5552761399999996E-4</v>
      </c>
      <c r="C360" s="22">
        <f t="shared" si="5"/>
        <v>0.85552761399999999</v>
      </c>
    </row>
    <row r="361" spans="1:3" x14ac:dyDescent="0.3">
      <c r="A361" s="22">
        <v>-3.9999999999999998E-6</v>
      </c>
      <c r="B361" s="22">
        <v>9.56030126E-4</v>
      </c>
      <c r="C361" s="22">
        <f t="shared" si="5"/>
        <v>0.95603012600000004</v>
      </c>
    </row>
    <row r="362" spans="1:3" x14ac:dyDescent="0.3">
      <c r="A362" s="22">
        <v>-3.9949999999999999E-6</v>
      </c>
      <c r="B362" s="22">
        <v>1.358040172E-3</v>
      </c>
      <c r="C362" s="22">
        <f t="shared" si="5"/>
        <v>1.3580401719999999</v>
      </c>
    </row>
    <row r="363" spans="1:3" x14ac:dyDescent="0.3">
      <c r="A363" s="22">
        <v>-3.9899999999999999E-6</v>
      </c>
      <c r="B363" s="22">
        <v>1.6595477059999999E-3</v>
      </c>
      <c r="C363" s="22">
        <f t="shared" si="5"/>
        <v>1.6595477059999999</v>
      </c>
    </row>
    <row r="364" spans="1:3" x14ac:dyDescent="0.3">
      <c r="A364" s="22">
        <v>-3.985E-6</v>
      </c>
      <c r="B364" s="22">
        <v>1.0565326370000001E-3</v>
      </c>
      <c r="C364" s="22">
        <f t="shared" si="5"/>
        <v>1.0565326370000001</v>
      </c>
    </row>
    <row r="365" spans="1:3" x14ac:dyDescent="0.3">
      <c r="A365" s="22">
        <v>-3.98E-6</v>
      </c>
      <c r="B365" s="22">
        <v>5.5402008000000002E-4</v>
      </c>
      <c r="C365" s="22">
        <f t="shared" si="5"/>
        <v>0.55402008000000003</v>
      </c>
    </row>
    <row r="366" spans="1:3" x14ac:dyDescent="0.3">
      <c r="A366" s="22">
        <v>-3.9750000000000001E-6</v>
      </c>
      <c r="B366" s="22">
        <v>9.56030126E-4</v>
      </c>
      <c r="C366" s="22">
        <f t="shared" si="5"/>
        <v>0.95603012600000004</v>
      </c>
    </row>
    <row r="367" spans="1:3" x14ac:dyDescent="0.3">
      <c r="A367" s="22">
        <v>-3.9700000000000001E-6</v>
      </c>
      <c r="B367" s="22">
        <v>1.52010034E-4</v>
      </c>
      <c r="C367" s="22">
        <f t="shared" si="5"/>
        <v>0.15201003400000002</v>
      </c>
    </row>
    <row r="368" spans="1:3" x14ac:dyDescent="0.3">
      <c r="A368" s="22">
        <v>-3.9650000000000002E-6</v>
      </c>
      <c r="B368" s="22">
        <v>5.5402008000000002E-4</v>
      </c>
      <c r="C368" s="22">
        <f t="shared" si="5"/>
        <v>0.55402008000000003</v>
      </c>
    </row>
    <row r="369" spans="1:3" x14ac:dyDescent="0.3">
      <c r="A369" s="22">
        <v>-3.9600000000000002E-6</v>
      </c>
      <c r="B369" s="22">
        <v>5.1507522999999997E-5</v>
      </c>
      <c r="C369" s="22">
        <f t="shared" si="5"/>
        <v>5.1507523E-2</v>
      </c>
    </row>
    <row r="370" spans="1:3" x14ac:dyDescent="0.3">
      <c r="A370" s="22">
        <v>-3.9550000000000002E-6</v>
      </c>
      <c r="B370" s="22">
        <v>1.52010034E-4</v>
      </c>
      <c r="C370" s="22">
        <f t="shared" si="5"/>
        <v>0.15201003400000002</v>
      </c>
    </row>
    <row r="371" spans="1:3" x14ac:dyDescent="0.3">
      <c r="A371" s="22">
        <v>-3.9500000000000003E-6</v>
      </c>
      <c r="B371" s="22">
        <v>-3.5050252300000001E-4</v>
      </c>
      <c r="C371" s="22">
        <f t="shared" si="5"/>
        <v>-0.35050252300000001</v>
      </c>
    </row>
    <row r="372" spans="1:3" x14ac:dyDescent="0.3">
      <c r="A372" s="22">
        <v>-3.9450000000000003E-6</v>
      </c>
      <c r="B372" s="22">
        <v>-7.52512569E-4</v>
      </c>
      <c r="C372" s="22">
        <f t="shared" si="5"/>
        <v>-0.75251256899999996</v>
      </c>
    </row>
    <row r="373" spans="1:3" x14ac:dyDescent="0.3">
      <c r="A373" s="22">
        <v>-3.9400000000000004E-6</v>
      </c>
      <c r="B373" s="22">
        <v>-6.5201005800000005E-4</v>
      </c>
      <c r="C373" s="22">
        <f t="shared" si="5"/>
        <v>-0.652010058</v>
      </c>
    </row>
    <row r="374" spans="1:3" x14ac:dyDescent="0.3">
      <c r="A374" s="22">
        <v>-3.9349999999999996E-6</v>
      </c>
      <c r="B374" s="22">
        <v>-1.4560301499999999E-3</v>
      </c>
      <c r="C374" s="22">
        <f t="shared" si="5"/>
        <v>-1.4560301499999999</v>
      </c>
    </row>
    <row r="375" spans="1:3" x14ac:dyDescent="0.3">
      <c r="A375" s="22">
        <v>-3.9299999999999996E-6</v>
      </c>
      <c r="B375" s="22">
        <v>-1.4560301499999999E-3</v>
      </c>
      <c r="C375" s="22">
        <f t="shared" si="5"/>
        <v>-1.4560301499999999</v>
      </c>
    </row>
    <row r="376" spans="1:3" x14ac:dyDescent="0.3">
      <c r="A376" s="22">
        <v>-3.9249999999999997E-6</v>
      </c>
      <c r="B376" s="22">
        <v>-1.8580401959999999E-3</v>
      </c>
      <c r="C376" s="22">
        <f t="shared" si="5"/>
        <v>-1.8580401959999999</v>
      </c>
    </row>
    <row r="377" spans="1:3" x14ac:dyDescent="0.3">
      <c r="A377" s="22">
        <v>-3.9199999999999997E-6</v>
      </c>
      <c r="B377" s="22">
        <v>-1.7575376840000001E-3</v>
      </c>
      <c r="C377" s="22">
        <f t="shared" si="5"/>
        <v>-1.7575376840000001</v>
      </c>
    </row>
    <row r="378" spans="1:3" x14ac:dyDescent="0.3">
      <c r="A378" s="22">
        <v>-3.9149999999999998E-6</v>
      </c>
      <c r="B378" s="22">
        <v>-2.2600502419999999E-3</v>
      </c>
      <c r="C378" s="22">
        <f t="shared" si="5"/>
        <v>-2.2600502419999997</v>
      </c>
    </row>
    <row r="379" spans="1:3" x14ac:dyDescent="0.3">
      <c r="A379" s="22">
        <v>-3.9099999999999998E-6</v>
      </c>
      <c r="B379" s="22">
        <v>-2.3605527530000002E-3</v>
      </c>
      <c r="C379" s="22">
        <f t="shared" si="5"/>
        <v>-2.3605527530000003</v>
      </c>
    </row>
    <row r="380" spans="1:3" x14ac:dyDescent="0.3">
      <c r="A380" s="22">
        <v>-3.9049999999999999E-6</v>
      </c>
      <c r="B380" s="22">
        <v>-3.265075356E-3</v>
      </c>
      <c r="C380" s="22">
        <f t="shared" si="5"/>
        <v>-3.2650753560000001</v>
      </c>
    </row>
    <row r="381" spans="1:3" x14ac:dyDescent="0.3">
      <c r="A381" s="22">
        <v>-3.8999999999999999E-6</v>
      </c>
      <c r="B381" s="22">
        <v>-2.6620602880000001E-3</v>
      </c>
      <c r="C381" s="22">
        <f t="shared" si="5"/>
        <v>-2.6620602880000002</v>
      </c>
    </row>
    <row r="382" spans="1:3" x14ac:dyDescent="0.3">
      <c r="A382" s="22">
        <v>-3.895E-6</v>
      </c>
      <c r="B382" s="22">
        <v>-2.2600502419999999E-3</v>
      </c>
      <c r="C382" s="22">
        <f t="shared" si="5"/>
        <v>-2.2600502419999997</v>
      </c>
    </row>
    <row r="383" spans="1:3" x14ac:dyDescent="0.3">
      <c r="A383" s="22">
        <v>-3.89E-6</v>
      </c>
      <c r="B383" s="22">
        <v>-3.0640703329999999E-3</v>
      </c>
      <c r="C383" s="22">
        <f t="shared" si="5"/>
        <v>-3.0640703330000001</v>
      </c>
    </row>
    <row r="384" spans="1:3" x14ac:dyDescent="0.3">
      <c r="A384" s="22">
        <v>-3.8850000000000001E-6</v>
      </c>
      <c r="B384" s="22">
        <v>-3.4660803790000001E-3</v>
      </c>
      <c r="C384" s="22">
        <f t="shared" si="5"/>
        <v>-3.4660803790000001</v>
      </c>
    </row>
    <row r="385" spans="1:3" x14ac:dyDescent="0.3">
      <c r="A385" s="22">
        <v>-3.8800000000000001E-6</v>
      </c>
      <c r="B385" s="22">
        <v>-3.1645728450000001E-3</v>
      </c>
      <c r="C385" s="22">
        <f t="shared" si="5"/>
        <v>-3.1645728450000004</v>
      </c>
    </row>
    <row r="386" spans="1:3" x14ac:dyDescent="0.3">
      <c r="A386" s="22">
        <v>-3.8750000000000002E-6</v>
      </c>
      <c r="B386" s="22">
        <v>-4.6721105170000003E-3</v>
      </c>
      <c r="C386" s="22">
        <f t="shared" si="5"/>
        <v>-4.6721105170000001</v>
      </c>
    </row>
    <row r="387" spans="1:3" x14ac:dyDescent="0.3">
      <c r="A387" s="22">
        <v>-3.8700000000000002E-6</v>
      </c>
      <c r="B387" s="22">
        <v>-3.8680904249999998E-3</v>
      </c>
      <c r="C387" s="22">
        <f t="shared" si="5"/>
        <v>-3.8680904249999997</v>
      </c>
    </row>
    <row r="388" spans="1:3" x14ac:dyDescent="0.3">
      <c r="A388" s="22">
        <v>-3.8650000000000003E-6</v>
      </c>
      <c r="B388" s="22">
        <v>-4.0690954479999999E-3</v>
      </c>
      <c r="C388" s="22">
        <f t="shared" ref="C388:C451" si="6">B388*10^3</f>
        <v>-4.0690954479999997</v>
      </c>
    </row>
    <row r="389" spans="1:3" x14ac:dyDescent="0.3">
      <c r="A389" s="22">
        <v>-3.8600000000000003E-6</v>
      </c>
      <c r="B389" s="22">
        <v>-3.0640703329999999E-3</v>
      </c>
      <c r="C389" s="22">
        <f t="shared" si="6"/>
        <v>-3.0640703330000001</v>
      </c>
    </row>
    <row r="390" spans="1:3" x14ac:dyDescent="0.3">
      <c r="A390" s="22">
        <v>-3.8550000000000004E-6</v>
      </c>
      <c r="B390" s="22">
        <v>-3.0640703329999999E-3</v>
      </c>
      <c r="C390" s="22">
        <f t="shared" si="6"/>
        <v>-3.0640703330000001</v>
      </c>
    </row>
    <row r="391" spans="1:3" x14ac:dyDescent="0.3">
      <c r="A391" s="22">
        <v>-3.8500000000000004E-6</v>
      </c>
      <c r="B391" s="22">
        <v>-3.4660803790000001E-3</v>
      </c>
      <c r="C391" s="22">
        <f t="shared" si="6"/>
        <v>-3.4660803790000001</v>
      </c>
    </row>
    <row r="392" spans="1:3" x14ac:dyDescent="0.3">
      <c r="A392" s="22">
        <v>-3.8449999999999996E-6</v>
      </c>
      <c r="B392" s="22">
        <v>-3.4660803790000001E-3</v>
      </c>
      <c r="C392" s="22">
        <f t="shared" si="6"/>
        <v>-3.4660803790000001</v>
      </c>
    </row>
    <row r="393" spans="1:3" x14ac:dyDescent="0.3">
      <c r="A393" s="22">
        <v>-3.8399999999999997E-6</v>
      </c>
      <c r="B393" s="22">
        <v>-3.1645728450000001E-3</v>
      </c>
      <c r="C393" s="22">
        <f t="shared" si="6"/>
        <v>-3.1645728450000004</v>
      </c>
    </row>
    <row r="394" spans="1:3" x14ac:dyDescent="0.3">
      <c r="A394" s="22">
        <v>-3.8349999999999997E-6</v>
      </c>
      <c r="B394" s="22">
        <v>-3.8680904249999998E-3</v>
      </c>
      <c r="C394" s="22">
        <f t="shared" si="6"/>
        <v>-3.8680904249999997</v>
      </c>
    </row>
    <row r="395" spans="1:3" x14ac:dyDescent="0.3">
      <c r="A395" s="22">
        <v>-3.8299999999999998E-6</v>
      </c>
      <c r="B395" s="22">
        <v>-3.3655778679999998E-3</v>
      </c>
      <c r="C395" s="22">
        <f t="shared" si="6"/>
        <v>-3.3655778679999999</v>
      </c>
    </row>
    <row r="396" spans="1:3" x14ac:dyDescent="0.3">
      <c r="A396" s="22">
        <v>-3.8249999999999998E-6</v>
      </c>
      <c r="B396" s="22">
        <v>-3.1645728450000001E-3</v>
      </c>
      <c r="C396" s="22">
        <f t="shared" si="6"/>
        <v>-3.1645728450000004</v>
      </c>
    </row>
    <row r="397" spans="1:3" x14ac:dyDescent="0.3">
      <c r="A397" s="22">
        <v>-3.8199999999999998E-6</v>
      </c>
      <c r="B397" s="22">
        <v>-2.7625627989999999E-3</v>
      </c>
      <c r="C397" s="22">
        <f t="shared" si="6"/>
        <v>-2.7625627989999999</v>
      </c>
    </row>
    <row r="398" spans="1:3" x14ac:dyDescent="0.3">
      <c r="A398" s="22">
        <v>-3.8149999999999999E-6</v>
      </c>
      <c r="B398" s="22">
        <v>-1.8580401959999999E-3</v>
      </c>
      <c r="C398" s="22">
        <f t="shared" si="6"/>
        <v>-1.8580401959999999</v>
      </c>
    </row>
    <row r="399" spans="1:3" x14ac:dyDescent="0.3">
      <c r="A399" s="22">
        <v>-3.8099999999999999E-6</v>
      </c>
      <c r="B399" s="22">
        <v>-1.8580401959999999E-3</v>
      </c>
      <c r="C399" s="22">
        <f t="shared" si="6"/>
        <v>-1.8580401959999999</v>
      </c>
    </row>
    <row r="400" spans="1:3" x14ac:dyDescent="0.3">
      <c r="A400" s="22">
        <v>-3.805E-6</v>
      </c>
      <c r="B400" s="22">
        <v>5.1507522999999997E-5</v>
      </c>
      <c r="C400" s="22">
        <f t="shared" si="6"/>
        <v>5.1507523E-2</v>
      </c>
    </row>
    <row r="401" spans="1:3" x14ac:dyDescent="0.3">
      <c r="A401" s="22">
        <v>-3.8E-6</v>
      </c>
      <c r="B401" s="22">
        <v>2.5251254600000002E-4</v>
      </c>
      <c r="C401" s="22">
        <f t="shared" si="6"/>
        <v>0.252512546</v>
      </c>
    </row>
    <row r="402" spans="1:3" x14ac:dyDescent="0.3">
      <c r="A402" s="22">
        <v>-3.7950000000000001E-6</v>
      </c>
      <c r="B402" s="22">
        <v>-2.5000001200000001E-4</v>
      </c>
      <c r="C402" s="22">
        <f t="shared" si="6"/>
        <v>-0.25000001199999999</v>
      </c>
    </row>
    <row r="403" spans="1:3" x14ac:dyDescent="0.3">
      <c r="A403" s="22">
        <v>-3.7900000000000001E-6</v>
      </c>
      <c r="B403" s="22">
        <v>4.5351756900000002E-4</v>
      </c>
      <c r="C403" s="22">
        <f t="shared" si="6"/>
        <v>0.45351756900000001</v>
      </c>
    </row>
    <row r="404" spans="1:3" x14ac:dyDescent="0.3">
      <c r="A404" s="22">
        <v>-3.7850000000000002E-6</v>
      </c>
      <c r="B404" s="22">
        <v>9.56030126E-4</v>
      </c>
      <c r="C404" s="22">
        <f t="shared" si="6"/>
        <v>0.95603012600000004</v>
      </c>
    </row>
    <row r="405" spans="1:3" x14ac:dyDescent="0.3">
      <c r="A405" s="22">
        <v>-3.7799999999999998E-6</v>
      </c>
      <c r="B405" s="22">
        <v>1.2575376599999999E-3</v>
      </c>
      <c r="C405" s="22">
        <f t="shared" si="6"/>
        <v>1.2575376599999999</v>
      </c>
    </row>
    <row r="406" spans="1:3" x14ac:dyDescent="0.3">
      <c r="A406" s="22">
        <v>-3.7749999999999999E-6</v>
      </c>
      <c r="B406" s="22">
        <v>1.6595477059999999E-3</v>
      </c>
      <c r="C406" s="22">
        <f t="shared" si="6"/>
        <v>1.6595477059999999</v>
      </c>
    </row>
    <row r="407" spans="1:3" x14ac:dyDescent="0.3">
      <c r="A407" s="22">
        <v>-3.7699999999999999E-6</v>
      </c>
      <c r="B407" s="22">
        <v>2.4635677980000001E-3</v>
      </c>
      <c r="C407" s="22">
        <f t="shared" si="6"/>
        <v>2.4635677980000001</v>
      </c>
    </row>
    <row r="408" spans="1:3" x14ac:dyDescent="0.3">
      <c r="A408" s="22">
        <v>-3.765E-6</v>
      </c>
      <c r="B408" s="22">
        <v>2.1620602640000002E-3</v>
      </c>
      <c r="C408" s="22">
        <f t="shared" si="6"/>
        <v>2.1620602640000004</v>
      </c>
    </row>
    <row r="409" spans="1:3" x14ac:dyDescent="0.3">
      <c r="A409" s="22">
        <v>-3.76E-6</v>
      </c>
      <c r="B409" s="22">
        <v>2.8655778439999999E-3</v>
      </c>
      <c r="C409" s="22">
        <f t="shared" si="6"/>
        <v>2.8655778439999997</v>
      </c>
    </row>
    <row r="410" spans="1:3" x14ac:dyDescent="0.3">
      <c r="A410" s="22">
        <v>-3.755E-6</v>
      </c>
      <c r="B410" s="22">
        <v>2.9660803560000002E-3</v>
      </c>
      <c r="C410" s="22">
        <f t="shared" si="6"/>
        <v>2.966080356</v>
      </c>
    </row>
    <row r="411" spans="1:3" x14ac:dyDescent="0.3">
      <c r="A411" s="22">
        <v>-3.7500000000000001E-6</v>
      </c>
      <c r="B411" s="22">
        <v>1.760050218E-3</v>
      </c>
      <c r="C411" s="22">
        <f t="shared" si="6"/>
        <v>1.7600502179999999</v>
      </c>
    </row>
    <row r="412" spans="1:3" x14ac:dyDescent="0.3">
      <c r="A412" s="22">
        <v>-3.7450000000000001E-6</v>
      </c>
      <c r="B412" s="22">
        <v>2.6645728209999998E-3</v>
      </c>
      <c r="C412" s="22">
        <f t="shared" si="6"/>
        <v>2.6645728209999997</v>
      </c>
    </row>
    <row r="413" spans="1:3" x14ac:dyDescent="0.3">
      <c r="A413" s="22">
        <v>-3.7400000000000002E-6</v>
      </c>
      <c r="B413" s="22">
        <v>2.4635677980000001E-3</v>
      </c>
      <c r="C413" s="22">
        <f t="shared" si="6"/>
        <v>2.4635677980000001</v>
      </c>
    </row>
    <row r="414" spans="1:3" x14ac:dyDescent="0.3">
      <c r="A414" s="22">
        <v>-3.7349999999999998E-6</v>
      </c>
      <c r="B414" s="22">
        <v>7.5502510300000001E-4</v>
      </c>
      <c r="C414" s="22">
        <f t="shared" si="6"/>
        <v>0.75502510300000003</v>
      </c>
    </row>
    <row r="415" spans="1:3" x14ac:dyDescent="0.3">
      <c r="A415" s="22">
        <v>-3.7299999999999999E-6</v>
      </c>
      <c r="B415" s="22">
        <v>9.56030126E-4</v>
      </c>
      <c r="C415" s="22">
        <f t="shared" si="6"/>
        <v>0.95603012600000004</v>
      </c>
    </row>
    <row r="416" spans="1:3" x14ac:dyDescent="0.3">
      <c r="A416" s="22">
        <v>-3.7249999999999999E-6</v>
      </c>
      <c r="B416" s="22">
        <v>9.56030126E-4</v>
      </c>
      <c r="C416" s="22">
        <f t="shared" si="6"/>
        <v>0.95603012600000004</v>
      </c>
    </row>
    <row r="417" spans="1:3" x14ac:dyDescent="0.3">
      <c r="A417" s="22">
        <v>-3.72E-6</v>
      </c>
      <c r="B417" s="22">
        <v>9.56030126E-4</v>
      </c>
      <c r="C417" s="22">
        <f t="shared" si="6"/>
        <v>0.95603012600000004</v>
      </c>
    </row>
    <row r="418" spans="1:3" x14ac:dyDescent="0.3">
      <c r="A418" s="22">
        <v>-3.715E-6</v>
      </c>
      <c r="B418" s="22">
        <v>-6.5201005800000005E-4</v>
      </c>
      <c r="C418" s="22">
        <f t="shared" si="6"/>
        <v>-0.652010058</v>
      </c>
    </row>
    <row r="419" spans="1:3" x14ac:dyDescent="0.3">
      <c r="A419" s="22">
        <v>-3.7100000000000001E-6</v>
      </c>
      <c r="B419" s="22">
        <v>-1.154522615E-3</v>
      </c>
      <c r="C419" s="22">
        <f t="shared" si="6"/>
        <v>-1.1545226150000001</v>
      </c>
    </row>
    <row r="420" spans="1:3" x14ac:dyDescent="0.3">
      <c r="A420" s="22">
        <v>-3.7050000000000001E-6</v>
      </c>
      <c r="B420" s="22">
        <v>-1.4560301499999999E-3</v>
      </c>
      <c r="C420" s="22">
        <f t="shared" si="6"/>
        <v>-1.4560301499999999</v>
      </c>
    </row>
    <row r="421" spans="1:3" x14ac:dyDescent="0.3">
      <c r="A421" s="22">
        <v>-3.7000000000000002E-6</v>
      </c>
      <c r="B421" s="22">
        <v>-1.8580401959999999E-3</v>
      </c>
      <c r="C421" s="22">
        <f t="shared" si="6"/>
        <v>-1.8580401959999999</v>
      </c>
    </row>
    <row r="422" spans="1:3" x14ac:dyDescent="0.3">
      <c r="A422" s="22">
        <v>-3.6950000000000002E-6</v>
      </c>
      <c r="B422" s="22">
        <v>-2.2600502419999999E-3</v>
      </c>
      <c r="C422" s="22">
        <f t="shared" si="6"/>
        <v>-2.2600502419999997</v>
      </c>
    </row>
    <row r="423" spans="1:3" x14ac:dyDescent="0.3">
      <c r="A423" s="22">
        <v>-3.6899999999999998E-6</v>
      </c>
      <c r="B423" s="22">
        <v>-3.0640703329999999E-3</v>
      </c>
      <c r="C423" s="22">
        <f t="shared" si="6"/>
        <v>-3.0640703330000001</v>
      </c>
    </row>
    <row r="424" spans="1:3" x14ac:dyDescent="0.3">
      <c r="A424" s="22">
        <v>-3.6849999999999999E-6</v>
      </c>
      <c r="B424" s="22">
        <v>-3.4660803790000001E-3</v>
      </c>
      <c r="C424" s="22">
        <f t="shared" si="6"/>
        <v>-3.4660803790000001</v>
      </c>
    </row>
    <row r="425" spans="1:3" x14ac:dyDescent="0.3">
      <c r="A425" s="22">
        <v>-3.6799999999999999E-6</v>
      </c>
      <c r="B425" s="22">
        <v>-3.5665828909999999E-3</v>
      </c>
      <c r="C425" s="22">
        <f t="shared" si="6"/>
        <v>-3.5665828909999999</v>
      </c>
    </row>
    <row r="426" spans="1:3" x14ac:dyDescent="0.3">
      <c r="A426" s="22">
        <v>-3.675E-6</v>
      </c>
      <c r="B426" s="22">
        <v>-3.9685929370000001E-3</v>
      </c>
      <c r="C426" s="22">
        <f t="shared" si="6"/>
        <v>-3.9685929369999999</v>
      </c>
    </row>
    <row r="427" spans="1:3" x14ac:dyDescent="0.3">
      <c r="A427" s="22">
        <v>-3.67E-6</v>
      </c>
      <c r="B427" s="22">
        <v>-4.5716080060000004E-3</v>
      </c>
      <c r="C427" s="22">
        <f t="shared" si="6"/>
        <v>-4.5716080060000008</v>
      </c>
    </row>
    <row r="428" spans="1:3" x14ac:dyDescent="0.3">
      <c r="A428" s="22">
        <v>-3.6650000000000001E-6</v>
      </c>
      <c r="B428" s="22">
        <v>-5.1746230749999999E-3</v>
      </c>
      <c r="C428" s="22">
        <f t="shared" si="6"/>
        <v>-5.1746230749999995</v>
      </c>
    </row>
    <row r="429" spans="1:3" x14ac:dyDescent="0.3">
      <c r="A429" s="22">
        <v>-3.6600000000000001E-6</v>
      </c>
      <c r="B429" s="22">
        <v>-4.6721105170000003E-3</v>
      </c>
      <c r="C429" s="22">
        <f t="shared" si="6"/>
        <v>-4.6721105170000001</v>
      </c>
    </row>
    <row r="430" spans="1:3" x14ac:dyDescent="0.3">
      <c r="A430" s="22">
        <v>-3.6550000000000002E-6</v>
      </c>
      <c r="B430" s="22">
        <v>-4.9736180519999998E-3</v>
      </c>
      <c r="C430" s="22">
        <f t="shared" si="6"/>
        <v>-4.973618052</v>
      </c>
    </row>
    <row r="431" spans="1:3" x14ac:dyDescent="0.3">
      <c r="A431" s="22">
        <v>-3.6500000000000002E-6</v>
      </c>
      <c r="B431" s="22">
        <v>-4.3706029830000003E-3</v>
      </c>
      <c r="C431" s="22">
        <f t="shared" si="6"/>
        <v>-4.3706029830000004</v>
      </c>
    </row>
    <row r="432" spans="1:3" x14ac:dyDescent="0.3">
      <c r="A432" s="22">
        <v>-3.6449999999999998E-6</v>
      </c>
      <c r="B432" s="22">
        <v>-4.6721105170000003E-3</v>
      </c>
      <c r="C432" s="22">
        <f t="shared" si="6"/>
        <v>-4.6721105170000001</v>
      </c>
    </row>
    <row r="433" spans="1:3" x14ac:dyDescent="0.3">
      <c r="A433" s="22">
        <v>-3.6399999999999999E-6</v>
      </c>
      <c r="B433" s="22">
        <v>-3.9685929370000001E-3</v>
      </c>
      <c r="C433" s="22">
        <f t="shared" si="6"/>
        <v>-3.9685929369999999</v>
      </c>
    </row>
    <row r="434" spans="1:3" x14ac:dyDescent="0.3">
      <c r="A434" s="22">
        <v>-3.6349999999999999E-6</v>
      </c>
      <c r="B434" s="22">
        <v>-3.8680904249999998E-3</v>
      </c>
      <c r="C434" s="22">
        <f t="shared" si="6"/>
        <v>-3.8680904249999997</v>
      </c>
    </row>
    <row r="435" spans="1:3" x14ac:dyDescent="0.3">
      <c r="A435" s="22">
        <v>-3.63E-6</v>
      </c>
      <c r="B435" s="22">
        <v>-3.3655778679999998E-3</v>
      </c>
      <c r="C435" s="22">
        <f t="shared" si="6"/>
        <v>-3.3655778679999999</v>
      </c>
    </row>
    <row r="436" spans="1:3" x14ac:dyDescent="0.3">
      <c r="A436" s="22">
        <v>-3.625E-6</v>
      </c>
      <c r="B436" s="22">
        <v>-2.8630653110000002E-3</v>
      </c>
      <c r="C436" s="22">
        <f t="shared" si="6"/>
        <v>-2.8630653110000002</v>
      </c>
    </row>
    <row r="437" spans="1:3" x14ac:dyDescent="0.3">
      <c r="A437" s="22">
        <v>-3.6200000000000001E-6</v>
      </c>
      <c r="B437" s="22">
        <v>-2.6620602880000001E-3</v>
      </c>
      <c r="C437" s="22">
        <f t="shared" si="6"/>
        <v>-2.6620602880000002</v>
      </c>
    </row>
    <row r="438" spans="1:3" x14ac:dyDescent="0.3">
      <c r="A438" s="22">
        <v>-3.6150000000000001E-6</v>
      </c>
      <c r="B438" s="22">
        <v>-2.2600502419999999E-3</v>
      </c>
      <c r="C438" s="22">
        <f t="shared" si="6"/>
        <v>-2.2600502419999997</v>
      </c>
    </row>
    <row r="439" spans="1:3" x14ac:dyDescent="0.3">
      <c r="A439" s="22">
        <v>-3.6100000000000002E-6</v>
      </c>
      <c r="B439" s="22">
        <v>-2.6620602880000001E-3</v>
      </c>
      <c r="C439" s="22">
        <f t="shared" si="6"/>
        <v>-2.6620602880000002</v>
      </c>
    </row>
    <row r="440" spans="1:3" x14ac:dyDescent="0.3">
      <c r="A440" s="22">
        <v>-3.6049999999999998E-6</v>
      </c>
      <c r="B440" s="22">
        <v>-2.2600502419999999E-3</v>
      </c>
      <c r="C440" s="22">
        <f t="shared" si="6"/>
        <v>-2.2600502419999997</v>
      </c>
    </row>
    <row r="441" spans="1:3" x14ac:dyDescent="0.3">
      <c r="A441" s="22">
        <v>-3.5999999999999998E-6</v>
      </c>
      <c r="B441" s="22">
        <v>-1.4560301499999999E-3</v>
      </c>
      <c r="C441" s="22">
        <f t="shared" si="6"/>
        <v>-1.4560301499999999</v>
      </c>
    </row>
    <row r="442" spans="1:3" x14ac:dyDescent="0.3">
      <c r="A442" s="22">
        <v>-3.5949999999999999E-6</v>
      </c>
      <c r="B442" s="22">
        <v>-1.556532661E-3</v>
      </c>
      <c r="C442" s="22">
        <f t="shared" si="6"/>
        <v>-1.5565326609999999</v>
      </c>
    </row>
    <row r="443" spans="1:3" x14ac:dyDescent="0.3">
      <c r="A443" s="22">
        <v>-3.5899999999999999E-6</v>
      </c>
      <c r="B443" s="22">
        <v>-1.0540201039999999E-3</v>
      </c>
      <c r="C443" s="22">
        <f t="shared" si="6"/>
        <v>-1.0540201039999999</v>
      </c>
    </row>
    <row r="444" spans="1:3" x14ac:dyDescent="0.3">
      <c r="A444" s="22">
        <v>-3.585E-6</v>
      </c>
      <c r="B444" s="22">
        <v>-3.5050252300000001E-4</v>
      </c>
      <c r="C444" s="22">
        <f t="shared" si="6"/>
        <v>-0.35050252300000001</v>
      </c>
    </row>
    <row r="445" spans="1:3" x14ac:dyDescent="0.3">
      <c r="A445" s="22">
        <v>-3.58E-6</v>
      </c>
      <c r="B445" s="22">
        <v>-2.5000001200000001E-4</v>
      </c>
      <c r="C445" s="22">
        <f t="shared" si="6"/>
        <v>-0.25000001199999999</v>
      </c>
    </row>
    <row r="446" spans="1:3" x14ac:dyDescent="0.3">
      <c r="A446" s="22">
        <v>-3.5750000000000001E-6</v>
      </c>
      <c r="B446" s="22">
        <v>-9.5351759199999999E-4</v>
      </c>
      <c r="C446" s="22">
        <f t="shared" si="6"/>
        <v>-0.95351759199999997</v>
      </c>
    </row>
    <row r="447" spans="1:3" x14ac:dyDescent="0.3">
      <c r="A447" s="22">
        <v>-3.5700000000000001E-6</v>
      </c>
      <c r="B447" s="22">
        <v>5.5402008000000002E-4</v>
      </c>
      <c r="C447" s="22">
        <f t="shared" si="6"/>
        <v>0.55402008000000003</v>
      </c>
    </row>
    <row r="448" spans="1:3" x14ac:dyDescent="0.3">
      <c r="A448" s="22">
        <v>-3.5650000000000002E-6</v>
      </c>
      <c r="B448" s="22">
        <v>5.5402008000000002E-4</v>
      </c>
      <c r="C448" s="22">
        <f t="shared" si="6"/>
        <v>0.55402008000000003</v>
      </c>
    </row>
    <row r="449" spans="1:3" x14ac:dyDescent="0.3">
      <c r="A449" s="22">
        <v>-3.5599999999999998E-6</v>
      </c>
      <c r="B449" s="22">
        <v>1.358040172E-3</v>
      </c>
      <c r="C449" s="22">
        <f t="shared" si="6"/>
        <v>1.3580401719999999</v>
      </c>
    </row>
    <row r="450" spans="1:3" x14ac:dyDescent="0.3">
      <c r="A450" s="22">
        <v>-3.5549999999999998E-6</v>
      </c>
      <c r="B450" s="22">
        <v>1.458542683E-3</v>
      </c>
      <c r="C450" s="22">
        <f t="shared" si="6"/>
        <v>1.4585426830000001</v>
      </c>
    </row>
    <row r="451" spans="1:3" x14ac:dyDescent="0.3">
      <c r="A451" s="22">
        <v>-3.5499999999999999E-6</v>
      </c>
      <c r="B451" s="22">
        <v>1.458542683E-3</v>
      </c>
      <c r="C451" s="22">
        <f t="shared" si="6"/>
        <v>1.4585426830000001</v>
      </c>
    </row>
    <row r="452" spans="1:3" x14ac:dyDescent="0.3">
      <c r="A452" s="22">
        <v>-3.5449999999999999E-6</v>
      </c>
      <c r="B452" s="22">
        <v>1.0565326370000001E-3</v>
      </c>
      <c r="C452" s="22">
        <f t="shared" ref="C452:C515" si="7">B452*10^3</f>
        <v>1.0565326370000001</v>
      </c>
    </row>
    <row r="453" spans="1:3" x14ac:dyDescent="0.3">
      <c r="A453" s="22">
        <v>-3.54E-6</v>
      </c>
      <c r="B453" s="22">
        <v>1.358040172E-3</v>
      </c>
      <c r="C453" s="22">
        <f t="shared" si="7"/>
        <v>1.3580401719999999</v>
      </c>
    </row>
    <row r="454" spans="1:3" x14ac:dyDescent="0.3">
      <c r="A454" s="22">
        <v>-3.535E-6</v>
      </c>
      <c r="B454" s="22">
        <v>1.52010034E-4</v>
      </c>
      <c r="C454" s="22">
        <f t="shared" si="7"/>
        <v>0.15201003400000002</v>
      </c>
    </row>
    <row r="455" spans="1:3" x14ac:dyDescent="0.3">
      <c r="A455" s="22">
        <v>-3.5300000000000001E-6</v>
      </c>
      <c r="B455" s="22">
        <v>1.52010034E-4</v>
      </c>
      <c r="C455" s="22">
        <f t="shared" si="7"/>
        <v>0.15201003400000002</v>
      </c>
    </row>
    <row r="456" spans="1:3" x14ac:dyDescent="0.3">
      <c r="A456" s="22">
        <v>-3.5250000000000001E-6</v>
      </c>
      <c r="B456" s="22">
        <v>1.52010034E-4</v>
      </c>
      <c r="C456" s="22">
        <f t="shared" si="7"/>
        <v>0.15201003400000002</v>
      </c>
    </row>
    <row r="457" spans="1:3" x14ac:dyDescent="0.3">
      <c r="A457" s="22">
        <v>-3.5200000000000002E-6</v>
      </c>
      <c r="B457" s="22">
        <v>-2.5000001200000001E-4</v>
      </c>
      <c r="C457" s="22">
        <f t="shared" si="7"/>
        <v>-0.25000001199999999</v>
      </c>
    </row>
    <row r="458" spans="1:3" x14ac:dyDescent="0.3">
      <c r="A458" s="22">
        <v>-3.5149999999999998E-6</v>
      </c>
      <c r="B458" s="22">
        <v>-6.5201005800000005E-4</v>
      </c>
      <c r="C458" s="22">
        <f t="shared" si="7"/>
        <v>-0.652010058</v>
      </c>
    </row>
    <row r="459" spans="1:3" x14ac:dyDescent="0.3">
      <c r="A459" s="22">
        <v>-3.5099999999999999E-6</v>
      </c>
      <c r="B459" s="22">
        <v>-6.5201005800000005E-4</v>
      </c>
      <c r="C459" s="22">
        <f t="shared" si="7"/>
        <v>-0.652010058</v>
      </c>
    </row>
    <row r="460" spans="1:3" x14ac:dyDescent="0.3">
      <c r="A460" s="22">
        <v>-3.5049999999999999E-6</v>
      </c>
      <c r="B460" s="22">
        <v>-1.4560301499999999E-3</v>
      </c>
      <c r="C460" s="22">
        <f t="shared" si="7"/>
        <v>-1.4560301499999999</v>
      </c>
    </row>
    <row r="461" spans="1:3" x14ac:dyDescent="0.3">
      <c r="A461" s="22">
        <v>-3.4999999999999999E-6</v>
      </c>
      <c r="B461" s="22">
        <v>-1.556532661E-3</v>
      </c>
      <c r="C461" s="22">
        <f t="shared" si="7"/>
        <v>-1.5565326609999999</v>
      </c>
    </row>
    <row r="462" spans="1:3" x14ac:dyDescent="0.3">
      <c r="A462" s="22">
        <v>-3.495E-6</v>
      </c>
      <c r="B462" s="22">
        <v>-1.8580401959999999E-3</v>
      </c>
      <c r="C462" s="22">
        <f t="shared" si="7"/>
        <v>-1.8580401959999999</v>
      </c>
    </row>
    <row r="463" spans="1:3" x14ac:dyDescent="0.3">
      <c r="A463" s="22">
        <v>-3.49E-6</v>
      </c>
      <c r="B463" s="22">
        <v>-2.3605527530000002E-3</v>
      </c>
      <c r="C463" s="22">
        <f t="shared" si="7"/>
        <v>-2.3605527530000003</v>
      </c>
    </row>
    <row r="464" spans="1:3" x14ac:dyDescent="0.3">
      <c r="A464" s="22">
        <v>-3.4850000000000001E-6</v>
      </c>
      <c r="B464" s="22">
        <v>-2.6620602880000001E-3</v>
      </c>
      <c r="C464" s="22">
        <f t="shared" si="7"/>
        <v>-2.6620602880000002</v>
      </c>
    </row>
    <row r="465" spans="1:3" x14ac:dyDescent="0.3">
      <c r="A465" s="22">
        <v>-3.4800000000000001E-6</v>
      </c>
      <c r="B465" s="22">
        <v>-2.6620602880000001E-3</v>
      </c>
      <c r="C465" s="22">
        <f t="shared" si="7"/>
        <v>-2.6620602880000002</v>
      </c>
    </row>
    <row r="466" spans="1:3" x14ac:dyDescent="0.3">
      <c r="A466" s="22">
        <v>-3.4750000000000002E-6</v>
      </c>
      <c r="B466" s="22">
        <v>-2.7625627989999999E-3</v>
      </c>
      <c r="C466" s="22">
        <f t="shared" si="7"/>
        <v>-2.7625627989999999</v>
      </c>
    </row>
    <row r="467" spans="1:3" x14ac:dyDescent="0.3">
      <c r="A467" s="22">
        <v>-3.4699999999999998E-6</v>
      </c>
      <c r="B467" s="22">
        <v>-2.6620602880000001E-3</v>
      </c>
      <c r="C467" s="22">
        <f t="shared" si="7"/>
        <v>-2.6620602880000002</v>
      </c>
    </row>
    <row r="468" spans="1:3" x14ac:dyDescent="0.3">
      <c r="A468" s="22">
        <v>-3.4649999999999999E-6</v>
      </c>
      <c r="B468" s="22">
        <v>-1.958542707E-3</v>
      </c>
      <c r="C468" s="22">
        <f t="shared" si="7"/>
        <v>-1.9585427069999999</v>
      </c>
    </row>
    <row r="469" spans="1:3" x14ac:dyDescent="0.3">
      <c r="A469" s="22">
        <v>-3.4599999999999999E-6</v>
      </c>
      <c r="B469" s="22">
        <v>-2.6620602880000001E-3</v>
      </c>
      <c r="C469" s="22">
        <f t="shared" si="7"/>
        <v>-2.6620602880000002</v>
      </c>
    </row>
    <row r="470" spans="1:3" x14ac:dyDescent="0.3">
      <c r="A470" s="22">
        <v>-3.455E-6</v>
      </c>
      <c r="B470" s="22">
        <v>-3.3655778679999998E-3</v>
      </c>
      <c r="C470" s="22">
        <f t="shared" si="7"/>
        <v>-3.3655778679999999</v>
      </c>
    </row>
    <row r="471" spans="1:3" x14ac:dyDescent="0.3">
      <c r="A471" s="22">
        <v>-3.45E-6</v>
      </c>
      <c r="B471" s="22">
        <v>-2.7625627989999999E-3</v>
      </c>
      <c r="C471" s="22">
        <f t="shared" si="7"/>
        <v>-2.7625627989999999</v>
      </c>
    </row>
    <row r="472" spans="1:3" x14ac:dyDescent="0.3">
      <c r="A472" s="22">
        <v>-3.4450000000000001E-6</v>
      </c>
      <c r="B472" s="22">
        <v>-2.1595477300000001E-3</v>
      </c>
      <c r="C472" s="22">
        <f t="shared" si="7"/>
        <v>-2.1595477299999999</v>
      </c>
    </row>
    <row r="473" spans="1:3" x14ac:dyDescent="0.3">
      <c r="A473" s="22">
        <v>-3.4400000000000001E-6</v>
      </c>
      <c r="B473" s="22">
        <v>-2.5615577759999998E-3</v>
      </c>
      <c r="C473" s="22">
        <f t="shared" si="7"/>
        <v>-2.5615577759999999</v>
      </c>
    </row>
    <row r="474" spans="1:3" x14ac:dyDescent="0.3">
      <c r="A474" s="22">
        <v>-3.4350000000000001E-6</v>
      </c>
      <c r="B474" s="22">
        <v>-2.3605527530000002E-3</v>
      </c>
      <c r="C474" s="22">
        <f t="shared" si="7"/>
        <v>-2.3605527530000003</v>
      </c>
    </row>
    <row r="475" spans="1:3" x14ac:dyDescent="0.3">
      <c r="A475" s="22">
        <v>-3.4300000000000002E-6</v>
      </c>
      <c r="B475" s="22">
        <v>-2.3605527530000002E-3</v>
      </c>
      <c r="C475" s="22">
        <f t="shared" si="7"/>
        <v>-2.3605527530000003</v>
      </c>
    </row>
    <row r="476" spans="1:3" x14ac:dyDescent="0.3">
      <c r="A476" s="22">
        <v>-3.4249999999999998E-6</v>
      </c>
      <c r="B476" s="22">
        <v>-2.2600502419999999E-3</v>
      </c>
      <c r="C476" s="22">
        <f t="shared" si="7"/>
        <v>-2.2600502419999997</v>
      </c>
    </row>
    <row r="477" spans="1:3" x14ac:dyDescent="0.3">
      <c r="A477" s="22">
        <v>-3.4199999999999999E-6</v>
      </c>
      <c r="B477" s="22">
        <v>-1.4560301499999999E-3</v>
      </c>
      <c r="C477" s="22">
        <f t="shared" si="7"/>
        <v>-1.4560301499999999</v>
      </c>
    </row>
    <row r="478" spans="1:3" x14ac:dyDescent="0.3">
      <c r="A478" s="22">
        <v>-3.4149999999999999E-6</v>
      </c>
      <c r="B478" s="22">
        <v>-6.5201005800000005E-4</v>
      </c>
      <c r="C478" s="22">
        <f t="shared" si="7"/>
        <v>-0.652010058</v>
      </c>
    </row>
    <row r="479" spans="1:3" x14ac:dyDescent="0.3">
      <c r="A479" s="22">
        <v>-3.41E-6</v>
      </c>
      <c r="B479" s="22">
        <v>-3.5050252300000001E-4</v>
      </c>
      <c r="C479" s="22">
        <f t="shared" si="7"/>
        <v>-0.35050252300000001</v>
      </c>
    </row>
    <row r="480" spans="1:3" x14ac:dyDescent="0.3">
      <c r="A480" s="22">
        <v>-3.405E-6</v>
      </c>
      <c r="B480" s="22">
        <v>1.52010034E-4</v>
      </c>
      <c r="C480" s="22">
        <f t="shared" si="7"/>
        <v>0.15201003400000002</v>
      </c>
    </row>
    <row r="481" spans="1:3" x14ac:dyDescent="0.3">
      <c r="A481" s="22">
        <v>-3.4000000000000001E-6</v>
      </c>
      <c r="B481" s="22">
        <v>-2.5000001200000001E-4</v>
      </c>
      <c r="C481" s="22">
        <f t="shared" si="7"/>
        <v>-0.25000001199999999</v>
      </c>
    </row>
    <row r="482" spans="1:3" x14ac:dyDescent="0.3">
      <c r="A482" s="22">
        <v>-3.3950000000000001E-6</v>
      </c>
      <c r="B482" s="22">
        <v>1.52010034E-4</v>
      </c>
      <c r="C482" s="22">
        <f t="shared" si="7"/>
        <v>0.15201003400000002</v>
      </c>
    </row>
    <row r="483" spans="1:3" x14ac:dyDescent="0.3">
      <c r="A483" s="22">
        <v>-3.3900000000000002E-6</v>
      </c>
      <c r="B483" s="22">
        <v>-1.4949749999999999E-4</v>
      </c>
      <c r="C483" s="22">
        <f t="shared" si="7"/>
        <v>-0.14949749999999998</v>
      </c>
    </row>
    <row r="484" spans="1:3" x14ac:dyDescent="0.3">
      <c r="A484" s="22">
        <v>-3.3850000000000002E-6</v>
      </c>
      <c r="B484" s="22">
        <v>5.5402008000000002E-4</v>
      </c>
      <c r="C484" s="22">
        <f t="shared" si="7"/>
        <v>0.55402008000000003</v>
      </c>
    </row>
    <row r="485" spans="1:3" x14ac:dyDescent="0.3">
      <c r="A485" s="22">
        <v>-3.3799999999999998E-6</v>
      </c>
      <c r="B485" s="22">
        <v>-1.154522615E-3</v>
      </c>
      <c r="C485" s="22">
        <f t="shared" si="7"/>
        <v>-1.1545226150000001</v>
      </c>
    </row>
    <row r="486" spans="1:3" x14ac:dyDescent="0.3">
      <c r="A486" s="22">
        <v>-3.3749999999999999E-6</v>
      </c>
      <c r="B486" s="22">
        <v>1.52010034E-4</v>
      </c>
      <c r="C486" s="22">
        <f t="shared" si="7"/>
        <v>0.15201003400000002</v>
      </c>
    </row>
    <row r="487" spans="1:3" x14ac:dyDescent="0.3">
      <c r="A487" s="22">
        <v>-3.3699999999999999E-6</v>
      </c>
      <c r="B487" s="22">
        <v>-1.0540201039999999E-3</v>
      </c>
      <c r="C487" s="22">
        <f t="shared" si="7"/>
        <v>-1.0540201039999999</v>
      </c>
    </row>
    <row r="488" spans="1:3" x14ac:dyDescent="0.3">
      <c r="A488" s="22">
        <v>-3.365E-6</v>
      </c>
      <c r="B488" s="22">
        <v>1.52010034E-4</v>
      </c>
      <c r="C488" s="22">
        <f t="shared" si="7"/>
        <v>0.15201003400000002</v>
      </c>
    </row>
    <row r="489" spans="1:3" x14ac:dyDescent="0.3">
      <c r="A489" s="22">
        <v>-3.36E-6</v>
      </c>
      <c r="B489" s="22">
        <v>8.5552761399999996E-4</v>
      </c>
      <c r="C489" s="22">
        <f t="shared" si="7"/>
        <v>0.85552761399999999</v>
      </c>
    </row>
    <row r="490" spans="1:3" x14ac:dyDescent="0.3">
      <c r="A490" s="22">
        <v>-3.3550000000000001E-6</v>
      </c>
      <c r="B490" s="22">
        <v>2.5251254600000002E-4</v>
      </c>
      <c r="C490" s="22">
        <f t="shared" si="7"/>
        <v>0.252512546</v>
      </c>
    </row>
    <row r="491" spans="1:3" x14ac:dyDescent="0.3">
      <c r="A491" s="22">
        <v>-3.3500000000000001E-6</v>
      </c>
      <c r="B491" s="22">
        <v>-6.5201005800000005E-4</v>
      </c>
      <c r="C491" s="22">
        <f t="shared" si="7"/>
        <v>-0.652010058</v>
      </c>
    </row>
    <row r="492" spans="1:3" x14ac:dyDescent="0.3">
      <c r="A492" s="22">
        <v>-3.3450000000000002E-6</v>
      </c>
      <c r="B492" s="22">
        <v>-1.556532661E-3</v>
      </c>
      <c r="C492" s="22">
        <f t="shared" si="7"/>
        <v>-1.5565326609999999</v>
      </c>
    </row>
    <row r="493" spans="1:3" x14ac:dyDescent="0.3">
      <c r="A493" s="22">
        <v>-3.3400000000000002E-6</v>
      </c>
      <c r="B493" s="22">
        <v>-1.556532661E-3</v>
      </c>
      <c r="C493" s="22">
        <f t="shared" si="7"/>
        <v>-1.5565326609999999</v>
      </c>
    </row>
    <row r="494" spans="1:3" x14ac:dyDescent="0.3">
      <c r="A494" s="22">
        <v>-3.3349999999999998E-6</v>
      </c>
      <c r="B494" s="22">
        <v>-1.4560301499999999E-3</v>
      </c>
      <c r="C494" s="22">
        <f t="shared" si="7"/>
        <v>-1.4560301499999999</v>
      </c>
    </row>
    <row r="495" spans="1:3" x14ac:dyDescent="0.3">
      <c r="A495" s="22">
        <v>-3.3299999999999999E-6</v>
      </c>
      <c r="B495" s="22">
        <v>-1.8580401959999999E-3</v>
      </c>
      <c r="C495" s="22">
        <f t="shared" si="7"/>
        <v>-1.8580401959999999</v>
      </c>
    </row>
    <row r="496" spans="1:3" x14ac:dyDescent="0.3">
      <c r="A496" s="22">
        <v>-3.3249999999999999E-6</v>
      </c>
      <c r="B496" s="22">
        <v>-3.3655778679999998E-3</v>
      </c>
      <c r="C496" s="22">
        <f t="shared" si="7"/>
        <v>-3.3655778679999999</v>
      </c>
    </row>
    <row r="497" spans="1:3" x14ac:dyDescent="0.3">
      <c r="A497" s="22">
        <v>-3.32E-6</v>
      </c>
      <c r="B497" s="22">
        <v>-3.8680904249999998E-3</v>
      </c>
      <c r="C497" s="22">
        <f t="shared" si="7"/>
        <v>-3.8680904249999997</v>
      </c>
    </row>
    <row r="498" spans="1:3" x14ac:dyDescent="0.3">
      <c r="A498" s="22">
        <v>-3.315E-6</v>
      </c>
      <c r="B498" s="22">
        <v>-2.8630653110000002E-3</v>
      </c>
      <c r="C498" s="22">
        <f t="shared" si="7"/>
        <v>-2.8630653110000002</v>
      </c>
    </row>
    <row r="499" spans="1:3" x14ac:dyDescent="0.3">
      <c r="A499" s="22">
        <v>-3.3100000000000001E-6</v>
      </c>
      <c r="B499" s="22">
        <v>-3.5665828909999999E-3</v>
      </c>
      <c r="C499" s="22">
        <f t="shared" si="7"/>
        <v>-3.5665828909999999</v>
      </c>
    </row>
    <row r="500" spans="1:3" x14ac:dyDescent="0.3">
      <c r="A500" s="22">
        <v>-3.3050000000000001E-6</v>
      </c>
      <c r="B500" s="22">
        <v>-4.3706029830000003E-3</v>
      </c>
      <c r="C500" s="22">
        <f t="shared" si="7"/>
        <v>-4.3706029830000004</v>
      </c>
    </row>
    <row r="501" spans="1:3" x14ac:dyDescent="0.3">
      <c r="A501" s="22">
        <v>-3.3000000000000002E-6</v>
      </c>
      <c r="B501" s="22">
        <v>-3.5665828909999999E-3</v>
      </c>
      <c r="C501" s="22">
        <f t="shared" si="7"/>
        <v>-3.5665828909999999</v>
      </c>
    </row>
    <row r="502" spans="1:3" x14ac:dyDescent="0.3">
      <c r="A502" s="22">
        <v>-3.2949999999999998E-6</v>
      </c>
      <c r="B502" s="22">
        <v>-3.4660803790000001E-3</v>
      </c>
      <c r="C502" s="22">
        <f t="shared" si="7"/>
        <v>-3.4660803790000001</v>
      </c>
    </row>
    <row r="503" spans="1:3" x14ac:dyDescent="0.3">
      <c r="A503" s="22">
        <v>-3.2899999999999998E-6</v>
      </c>
      <c r="B503" s="22">
        <v>-3.8680904249999998E-3</v>
      </c>
      <c r="C503" s="22">
        <f t="shared" si="7"/>
        <v>-3.8680904249999997</v>
      </c>
    </row>
    <row r="504" spans="1:3" x14ac:dyDescent="0.3">
      <c r="A504" s="22">
        <v>-3.2849999999999999E-6</v>
      </c>
      <c r="B504" s="22">
        <v>-3.8680904249999998E-3</v>
      </c>
      <c r="C504" s="22">
        <f t="shared" si="7"/>
        <v>-3.8680904249999997</v>
      </c>
    </row>
    <row r="505" spans="1:3" x14ac:dyDescent="0.3">
      <c r="A505" s="22">
        <v>-3.2799999999999999E-6</v>
      </c>
      <c r="B505" s="22">
        <v>-3.0640703329999999E-3</v>
      </c>
      <c r="C505" s="22">
        <f t="shared" si="7"/>
        <v>-3.0640703330000001</v>
      </c>
    </row>
    <row r="506" spans="1:3" x14ac:dyDescent="0.3">
      <c r="A506" s="22">
        <v>-3.275E-6</v>
      </c>
      <c r="B506" s="22">
        <v>-3.4660803790000001E-3</v>
      </c>
      <c r="C506" s="22">
        <f t="shared" si="7"/>
        <v>-3.4660803790000001</v>
      </c>
    </row>
    <row r="507" spans="1:3" x14ac:dyDescent="0.3">
      <c r="A507" s="22">
        <v>-3.27E-6</v>
      </c>
      <c r="B507" s="22">
        <v>-3.0640703329999999E-3</v>
      </c>
      <c r="C507" s="22">
        <f t="shared" si="7"/>
        <v>-3.0640703330000001</v>
      </c>
    </row>
    <row r="508" spans="1:3" x14ac:dyDescent="0.3">
      <c r="A508" s="22">
        <v>-3.2650000000000001E-6</v>
      </c>
      <c r="B508" s="22">
        <v>-3.1645728450000001E-3</v>
      </c>
      <c r="C508" s="22">
        <f t="shared" si="7"/>
        <v>-3.1645728450000004</v>
      </c>
    </row>
    <row r="509" spans="1:3" x14ac:dyDescent="0.3">
      <c r="A509" s="22">
        <v>-3.2600000000000001E-6</v>
      </c>
      <c r="B509" s="22">
        <v>-3.0640703329999999E-3</v>
      </c>
      <c r="C509" s="22">
        <f t="shared" si="7"/>
        <v>-3.0640703330000001</v>
      </c>
    </row>
    <row r="510" spans="1:3" x14ac:dyDescent="0.3">
      <c r="A510" s="22">
        <v>-3.2550000000000002E-6</v>
      </c>
      <c r="B510" s="22">
        <v>-3.0640703329999999E-3</v>
      </c>
      <c r="C510" s="22">
        <f t="shared" si="7"/>
        <v>-3.0640703330000001</v>
      </c>
    </row>
    <row r="511" spans="1:3" x14ac:dyDescent="0.3">
      <c r="A511" s="22">
        <v>-3.2499999999999998E-6</v>
      </c>
      <c r="B511" s="22">
        <v>-2.2600502419999999E-3</v>
      </c>
      <c r="C511" s="22">
        <f t="shared" si="7"/>
        <v>-2.2600502419999997</v>
      </c>
    </row>
    <row r="512" spans="1:3" x14ac:dyDescent="0.3">
      <c r="A512" s="22">
        <v>-3.2449999999999998E-6</v>
      </c>
      <c r="B512" s="22">
        <v>-1.8580401959999999E-3</v>
      </c>
      <c r="C512" s="22">
        <f t="shared" si="7"/>
        <v>-1.8580401959999999</v>
      </c>
    </row>
    <row r="513" spans="1:3" x14ac:dyDescent="0.3">
      <c r="A513" s="22">
        <v>-3.2399999999999999E-6</v>
      </c>
      <c r="B513" s="22">
        <v>-2.1595477300000001E-3</v>
      </c>
      <c r="C513" s="22">
        <f t="shared" si="7"/>
        <v>-2.1595477299999999</v>
      </c>
    </row>
    <row r="514" spans="1:3" x14ac:dyDescent="0.3">
      <c r="A514" s="22">
        <v>-3.2349999999999999E-6</v>
      </c>
      <c r="B514" s="22">
        <v>-2.3605527530000002E-3</v>
      </c>
      <c r="C514" s="22">
        <f t="shared" si="7"/>
        <v>-2.3605527530000003</v>
      </c>
    </row>
    <row r="515" spans="1:3" x14ac:dyDescent="0.3">
      <c r="A515" s="22">
        <v>-3.23E-6</v>
      </c>
      <c r="B515" s="22">
        <v>-1.8580401959999999E-3</v>
      </c>
      <c r="C515" s="22">
        <f t="shared" si="7"/>
        <v>-1.8580401959999999</v>
      </c>
    </row>
    <row r="516" spans="1:3" x14ac:dyDescent="0.3">
      <c r="A516" s="22">
        <v>-3.225E-6</v>
      </c>
      <c r="B516" s="22">
        <v>-1.8580401959999999E-3</v>
      </c>
      <c r="C516" s="22">
        <f t="shared" ref="C516:C579" si="8">B516*10^3</f>
        <v>-1.8580401959999999</v>
      </c>
    </row>
    <row r="517" spans="1:3" x14ac:dyDescent="0.3">
      <c r="A517" s="22">
        <v>-3.2200000000000001E-6</v>
      </c>
      <c r="B517" s="22">
        <v>-1.4560301499999999E-3</v>
      </c>
      <c r="C517" s="22">
        <f t="shared" si="8"/>
        <v>-1.4560301499999999</v>
      </c>
    </row>
    <row r="518" spans="1:3" x14ac:dyDescent="0.3">
      <c r="A518" s="22">
        <v>-3.2150000000000001E-6</v>
      </c>
      <c r="B518" s="22">
        <v>-6.5201005800000005E-4</v>
      </c>
      <c r="C518" s="22">
        <f t="shared" si="8"/>
        <v>-0.652010058</v>
      </c>
    </row>
    <row r="519" spans="1:3" x14ac:dyDescent="0.3">
      <c r="A519" s="22">
        <v>-3.2100000000000002E-6</v>
      </c>
      <c r="B519" s="22">
        <v>-5.51507546E-4</v>
      </c>
      <c r="C519" s="22">
        <f t="shared" si="8"/>
        <v>-0.55150754599999996</v>
      </c>
    </row>
    <row r="520" spans="1:3" x14ac:dyDescent="0.3">
      <c r="A520" s="22">
        <v>-3.2049999999999998E-6</v>
      </c>
      <c r="B520" s="22">
        <v>5.1507522999999997E-5</v>
      </c>
      <c r="C520" s="22">
        <f t="shared" si="8"/>
        <v>5.1507523E-2</v>
      </c>
    </row>
    <row r="521" spans="1:3" x14ac:dyDescent="0.3">
      <c r="A521" s="22">
        <v>-3.1999999999999999E-6</v>
      </c>
      <c r="B521" s="22">
        <v>1.52010034E-4</v>
      </c>
      <c r="C521" s="22">
        <f t="shared" si="8"/>
        <v>0.15201003400000002</v>
      </c>
    </row>
    <row r="522" spans="1:3" x14ac:dyDescent="0.3">
      <c r="A522" s="22">
        <v>-3.1949999999999999E-6</v>
      </c>
      <c r="B522" s="22">
        <v>4.5351756900000002E-4</v>
      </c>
      <c r="C522" s="22">
        <f t="shared" si="8"/>
        <v>0.45351756900000001</v>
      </c>
    </row>
    <row r="523" spans="1:3" x14ac:dyDescent="0.3">
      <c r="A523" s="22">
        <v>-3.19E-6</v>
      </c>
      <c r="B523" s="22">
        <v>-6.5201005800000005E-4</v>
      </c>
      <c r="C523" s="22">
        <f t="shared" si="8"/>
        <v>-0.652010058</v>
      </c>
    </row>
    <row r="524" spans="1:3" x14ac:dyDescent="0.3">
      <c r="A524" s="22">
        <v>-3.185E-6</v>
      </c>
      <c r="B524" s="22">
        <v>-2.5000001200000001E-4</v>
      </c>
      <c r="C524" s="22">
        <f t="shared" si="8"/>
        <v>-0.25000001199999999</v>
      </c>
    </row>
    <row r="525" spans="1:3" x14ac:dyDescent="0.3">
      <c r="A525" s="22">
        <v>-3.18E-6</v>
      </c>
      <c r="B525" s="22">
        <v>-3.5050252300000001E-4</v>
      </c>
      <c r="C525" s="22">
        <f t="shared" si="8"/>
        <v>-0.35050252300000001</v>
      </c>
    </row>
    <row r="526" spans="1:3" x14ac:dyDescent="0.3">
      <c r="A526" s="22">
        <v>-3.1750000000000001E-6</v>
      </c>
      <c r="B526" s="22">
        <v>4.5351756900000002E-4</v>
      </c>
      <c r="C526" s="22">
        <f t="shared" si="8"/>
        <v>0.45351756900000001</v>
      </c>
    </row>
    <row r="527" spans="1:3" x14ac:dyDescent="0.3">
      <c r="A527" s="22">
        <v>-3.1700000000000001E-6</v>
      </c>
      <c r="B527" s="22">
        <v>-3.5050252300000001E-4</v>
      </c>
      <c r="C527" s="22">
        <f t="shared" si="8"/>
        <v>-0.35050252300000001</v>
      </c>
    </row>
    <row r="528" spans="1:3" x14ac:dyDescent="0.3">
      <c r="A528" s="22">
        <v>-3.1650000000000002E-6</v>
      </c>
      <c r="B528" s="22">
        <v>-7.52512569E-4</v>
      </c>
      <c r="C528" s="22">
        <f t="shared" si="8"/>
        <v>-0.75251256899999996</v>
      </c>
    </row>
    <row r="529" spans="1:3" x14ac:dyDescent="0.3">
      <c r="A529" s="22">
        <v>-3.1599999999999998E-6</v>
      </c>
      <c r="B529" s="22">
        <v>-6.5201005800000005E-4</v>
      </c>
      <c r="C529" s="22">
        <f t="shared" si="8"/>
        <v>-0.652010058</v>
      </c>
    </row>
    <row r="530" spans="1:3" x14ac:dyDescent="0.3">
      <c r="A530" s="22">
        <v>-3.1549999999999999E-6</v>
      </c>
      <c r="B530" s="22">
        <v>-7.52512569E-4</v>
      </c>
      <c r="C530" s="22">
        <f t="shared" si="8"/>
        <v>-0.75251256899999996</v>
      </c>
    </row>
    <row r="531" spans="1:3" x14ac:dyDescent="0.3">
      <c r="A531" s="22">
        <v>-3.1499999999999999E-6</v>
      </c>
      <c r="B531" s="22">
        <v>-1.4560301499999999E-3</v>
      </c>
      <c r="C531" s="22">
        <f t="shared" si="8"/>
        <v>-1.4560301499999999</v>
      </c>
    </row>
    <row r="532" spans="1:3" x14ac:dyDescent="0.3">
      <c r="A532" s="22">
        <v>-3.145E-6</v>
      </c>
      <c r="B532" s="22">
        <v>-1.7575376840000001E-3</v>
      </c>
      <c r="C532" s="22">
        <f t="shared" si="8"/>
        <v>-1.7575376840000001</v>
      </c>
    </row>
    <row r="533" spans="1:3" x14ac:dyDescent="0.3">
      <c r="A533" s="22">
        <v>-3.14E-6</v>
      </c>
      <c r="B533" s="22">
        <v>-1.154522615E-3</v>
      </c>
      <c r="C533" s="22">
        <f t="shared" si="8"/>
        <v>-1.1545226150000001</v>
      </c>
    </row>
    <row r="534" spans="1:3" x14ac:dyDescent="0.3">
      <c r="A534" s="22">
        <v>-3.1350000000000001E-6</v>
      </c>
      <c r="B534" s="22">
        <v>-9.5351759199999999E-4</v>
      </c>
      <c r="C534" s="22">
        <f t="shared" si="8"/>
        <v>-0.95351759199999997</v>
      </c>
    </row>
    <row r="535" spans="1:3" x14ac:dyDescent="0.3">
      <c r="A535" s="22">
        <v>-3.1300000000000001E-6</v>
      </c>
      <c r="B535" s="22">
        <v>-6.5201005800000005E-4</v>
      </c>
      <c r="C535" s="22">
        <f t="shared" si="8"/>
        <v>-0.652010058</v>
      </c>
    </row>
    <row r="536" spans="1:3" x14ac:dyDescent="0.3">
      <c r="A536" s="22">
        <v>-3.1250000000000001E-6</v>
      </c>
      <c r="B536" s="22">
        <v>-6.5201005800000005E-4</v>
      </c>
      <c r="C536" s="22">
        <f t="shared" si="8"/>
        <v>-0.652010058</v>
      </c>
    </row>
    <row r="537" spans="1:3" x14ac:dyDescent="0.3">
      <c r="A537" s="22">
        <v>-3.1200000000000002E-6</v>
      </c>
      <c r="B537" s="22">
        <v>-7.52512569E-4</v>
      </c>
      <c r="C537" s="22">
        <f t="shared" si="8"/>
        <v>-0.75251256899999996</v>
      </c>
    </row>
    <row r="538" spans="1:3" x14ac:dyDescent="0.3">
      <c r="A538" s="22">
        <v>-3.1149999999999998E-6</v>
      </c>
      <c r="B538" s="22">
        <v>-5.51507546E-4</v>
      </c>
      <c r="C538" s="22">
        <f t="shared" si="8"/>
        <v>-0.55150754599999996</v>
      </c>
    </row>
    <row r="539" spans="1:3" x14ac:dyDescent="0.3">
      <c r="A539" s="22">
        <v>-3.1099999999999999E-6</v>
      </c>
      <c r="B539" s="22">
        <v>-9.5351759199999999E-4</v>
      </c>
      <c r="C539" s="22">
        <f t="shared" si="8"/>
        <v>-0.95351759199999997</v>
      </c>
    </row>
    <row r="540" spans="1:3" x14ac:dyDescent="0.3">
      <c r="A540" s="22">
        <v>-3.1049999999999999E-6</v>
      </c>
      <c r="B540" s="22">
        <v>-1.556532661E-3</v>
      </c>
      <c r="C540" s="22">
        <f t="shared" si="8"/>
        <v>-1.5565326609999999</v>
      </c>
    </row>
    <row r="541" spans="1:3" x14ac:dyDescent="0.3">
      <c r="A541" s="22">
        <v>-3.1E-6</v>
      </c>
      <c r="B541" s="22">
        <v>-2.6620602880000001E-3</v>
      </c>
      <c r="C541" s="22">
        <f t="shared" si="8"/>
        <v>-2.6620602880000002</v>
      </c>
    </row>
    <row r="542" spans="1:3" x14ac:dyDescent="0.3">
      <c r="A542" s="22">
        <v>-3.095E-6</v>
      </c>
      <c r="B542" s="22">
        <v>-2.1595477300000001E-3</v>
      </c>
      <c r="C542" s="22">
        <f t="shared" si="8"/>
        <v>-2.1595477299999999</v>
      </c>
    </row>
    <row r="543" spans="1:3" x14ac:dyDescent="0.3">
      <c r="A543" s="22">
        <v>-3.0900000000000001E-6</v>
      </c>
      <c r="B543" s="22">
        <v>-2.5615577759999998E-3</v>
      </c>
      <c r="C543" s="22">
        <f t="shared" si="8"/>
        <v>-2.5615577759999999</v>
      </c>
    </row>
    <row r="544" spans="1:3" x14ac:dyDescent="0.3">
      <c r="A544" s="22">
        <v>-3.0850000000000001E-6</v>
      </c>
      <c r="B544" s="22">
        <v>-1.4560301499999999E-3</v>
      </c>
      <c r="C544" s="22">
        <f t="shared" si="8"/>
        <v>-1.4560301499999999</v>
      </c>
    </row>
    <row r="545" spans="1:3" x14ac:dyDescent="0.3">
      <c r="A545" s="22">
        <v>-3.0800000000000002E-6</v>
      </c>
      <c r="B545" s="22">
        <v>-2.5000001200000001E-4</v>
      </c>
      <c r="C545" s="22">
        <f t="shared" si="8"/>
        <v>-0.25000001199999999</v>
      </c>
    </row>
    <row r="546" spans="1:3" x14ac:dyDescent="0.3">
      <c r="A546" s="22">
        <v>-3.0750000000000002E-6</v>
      </c>
      <c r="B546" s="22">
        <v>1.52010034E-4</v>
      </c>
      <c r="C546" s="22">
        <f t="shared" si="8"/>
        <v>0.15201003400000002</v>
      </c>
    </row>
    <row r="547" spans="1:3" x14ac:dyDescent="0.3">
      <c r="A547" s="22">
        <v>-3.0699999999999998E-6</v>
      </c>
      <c r="B547" s="22">
        <v>-2.5000001200000001E-4</v>
      </c>
      <c r="C547" s="22">
        <f t="shared" si="8"/>
        <v>-0.25000001199999999</v>
      </c>
    </row>
    <row r="548" spans="1:3" x14ac:dyDescent="0.3">
      <c r="A548" s="22">
        <v>-3.0649999999999999E-6</v>
      </c>
      <c r="B548" s="22">
        <v>-3.5050252300000001E-4</v>
      </c>
      <c r="C548" s="22">
        <f t="shared" si="8"/>
        <v>-0.35050252300000001</v>
      </c>
    </row>
    <row r="549" spans="1:3" x14ac:dyDescent="0.3">
      <c r="A549" s="22">
        <v>-3.0599999999999999E-6</v>
      </c>
      <c r="B549" s="22">
        <v>-1.154522615E-3</v>
      </c>
      <c r="C549" s="22">
        <f t="shared" si="8"/>
        <v>-1.1545226150000001</v>
      </c>
    </row>
    <row r="550" spans="1:3" x14ac:dyDescent="0.3">
      <c r="A550" s="22">
        <v>-3.055E-6</v>
      </c>
      <c r="B550" s="22">
        <v>5.1507522999999997E-5</v>
      </c>
      <c r="C550" s="22">
        <f t="shared" si="8"/>
        <v>5.1507523E-2</v>
      </c>
    </row>
    <row r="551" spans="1:3" x14ac:dyDescent="0.3">
      <c r="A551" s="22">
        <v>-3.05E-6</v>
      </c>
      <c r="B551" s="22">
        <v>-2.5000001200000001E-4</v>
      </c>
      <c r="C551" s="22">
        <f t="shared" si="8"/>
        <v>-0.25000001199999999</v>
      </c>
    </row>
    <row r="552" spans="1:3" x14ac:dyDescent="0.3">
      <c r="A552" s="22">
        <v>-3.0450000000000001E-6</v>
      </c>
      <c r="B552" s="22">
        <v>-6.5201005800000005E-4</v>
      </c>
      <c r="C552" s="22">
        <f t="shared" si="8"/>
        <v>-0.652010058</v>
      </c>
    </row>
    <row r="553" spans="1:3" x14ac:dyDescent="0.3">
      <c r="A553" s="22">
        <v>-3.0400000000000001E-6</v>
      </c>
      <c r="B553" s="22">
        <v>-2.5000001200000001E-4</v>
      </c>
      <c r="C553" s="22">
        <f t="shared" si="8"/>
        <v>-0.25000001199999999</v>
      </c>
    </row>
    <row r="554" spans="1:3" x14ac:dyDescent="0.3">
      <c r="A554" s="22">
        <v>-3.0350000000000002E-6</v>
      </c>
      <c r="B554" s="22">
        <v>4.5351756900000002E-4</v>
      </c>
      <c r="C554" s="22">
        <f t="shared" si="8"/>
        <v>0.45351756900000001</v>
      </c>
    </row>
    <row r="555" spans="1:3" x14ac:dyDescent="0.3">
      <c r="A555" s="22">
        <v>-3.0299999999999998E-6</v>
      </c>
      <c r="B555" s="22">
        <v>5.5402008000000002E-4</v>
      </c>
      <c r="C555" s="22">
        <f t="shared" si="8"/>
        <v>0.55402008000000003</v>
      </c>
    </row>
    <row r="556" spans="1:3" x14ac:dyDescent="0.3">
      <c r="A556" s="22">
        <v>-3.0249999999999998E-6</v>
      </c>
      <c r="B556" s="22">
        <v>5.5402008000000002E-4</v>
      </c>
      <c r="C556" s="22">
        <f t="shared" si="8"/>
        <v>0.55402008000000003</v>
      </c>
    </row>
    <row r="557" spans="1:3" x14ac:dyDescent="0.3">
      <c r="A557" s="22">
        <v>-3.0199999999999999E-6</v>
      </c>
      <c r="B557" s="22">
        <v>-5.51507546E-4</v>
      </c>
      <c r="C557" s="22">
        <f t="shared" si="8"/>
        <v>-0.55150754599999996</v>
      </c>
    </row>
    <row r="558" spans="1:3" x14ac:dyDescent="0.3">
      <c r="A558" s="22">
        <v>-3.0149999999999999E-6</v>
      </c>
      <c r="B558" s="22">
        <v>-6.5201005800000005E-4</v>
      </c>
      <c r="C558" s="22">
        <f t="shared" si="8"/>
        <v>-0.652010058</v>
      </c>
    </row>
    <row r="559" spans="1:3" x14ac:dyDescent="0.3">
      <c r="A559" s="22">
        <v>-3.01E-6</v>
      </c>
      <c r="B559" s="22">
        <v>5.5402008000000002E-4</v>
      </c>
      <c r="C559" s="22">
        <f t="shared" si="8"/>
        <v>0.55402008000000003</v>
      </c>
    </row>
    <row r="560" spans="1:3" x14ac:dyDescent="0.3">
      <c r="A560" s="22">
        <v>-3.005E-6</v>
      </c>
      <c r="B560" s="22">
        <v>5.1507522999999997E-5</v>
      </c>
      <c r="C560" s="22">
        <f t="shared" si="8"/>
        <v>5.1507523E-2</v>
      </c>
    </row>
    <row r="561" spans="1:3" x14ac:dyDescent="0.3">
      <c r="A561" s="22">
        <v>-3.0000000000000001E-6</v>
      </c>
      <c r="B561" s="22">
        <v>-2.5000001200000001E-4</v>
      </c>
      <c r="C561" s="22">
        <f t="shared" si="8"/>
        <v>-0.25000001199999999</v>
      </c>
    </row>
    <row r="562" spans="1:3" x14ac:dyDescent="0.3">
      <c r="A562" s="22">
        <v>-2.9950000000000001E-6</v>
      </c>
      <c r="B562" s="22">
        <v>5.1507522999999997E-5</v>
      </c>
      <c r="C562" s="22">
        <f t="shared" si="8"/>
        <v>5.1507523E-2</v>
      </c>
    </row>
    <row r="563" spans="1:3" x14ac:dyDescent="0.3">
      <c r="A563" s="22">
        <v>-2.9900000000000002E-6</v>
      </c>
      <c r="B563" s="22">
        <v>-2.5000001200000001E-4</v>
      </c>
      <c r="C563" s="22">
        <f t="shared" si="8"/>
        <v>-0.25000001199999999</v>
      </c>
    </row>
    <row r="564" spans="1:3" x14ac:dyDescent="0.3">
      <c r="A564" s="22">
        <v>-2.9849999999999998E-6</v>
      </c>
      <c r="B564" s="22">
        <v>-7.52512569E-4</v>
      </c>
      <c r="C564" s="22">
        <f t="shared" si="8"/>
        <v>-0.75251256899999996</v>
      </c>
    </row>
    <row r="565" spans="1:3" x14ac:dyDescent="0.3">
      <c r="A565" s="22">
        <v>-2.9799999999999998E-6</v>
      </c>
      <c r="B565" s="22">
        <v>-1.8580401959999999E-3</v>
      </c>
      <c r="C565" s="22">
        <f t="shared" si="8"/>
        <v>-1.8580401959999999</v>
      </c>
    </row>
    <row r="566" spans="1:3" x14ac:dyDescent="0.3">
      <c r="A566" s="22">
        <v>-2.9749999999999999E-6</v>
      </c>
      <c r="B566" s="22">
        <v>-2.6620602880000001E-3</v>
      </c>
      <c r="C566" s="22">
        <f t="shared" si="8"/>
        <v>-2.6620602880000002</v>
      </c>
    </row>
    <row r="567" spans="1:3" x14ac:dyDescent="0.3">
      <c r="A567" s="22">
        <v>-2.9699999999999999E-6</v>
      </c>
      <c r="B567" s="22">
        <v>-1.958542707E-3</v>
      </c>
      <c r="C567" s="22">
        <f t="shared" si="8"/>
        <v>-1.9585427069999999</v>
      </c>
    </row>
    <row r="568" spans="1:3" x14ac:dyDescent="0.3">
      <c r="A568" s="22">
        <v>-2.965E-6</v>
      </c>
      <c r="B568" s="22">
        <v>-2.963567822E-3</v>
      </c>
      <c r="C568" s="22">
        <f t="shared" si="8"/>
        <v>-2.9635678219999999</v>
      </c>
    </row>
    <row r="569" spans="1:3" x14ac:dyDescent="0.3">
      <c r="A569" s="22">
        <v>-2.96E-6</v>
      </c>
      <c r="B569" s="22">
        <v>-2.6620602880000001E-3</v>
      </c>
      <c r="C569" s="22">
        <f t="shared" si="8"/>
        <v>-2.6620602880000002</v>
      </c>
    </row>
    <row r="570" spans="1:3" x14ac:dyDescent="0.3">
      <c r="A570" s="22">
        <v>-2.9550000000000001E-6</v>
      </c>
      <c r="B570" s="22">
        <v>-2.5615577759999998E-3</v>
      </c>
      <c r="C570" s="22">
        <f t="shared" si="8"/>
        <v>-2.5615577759999999</v>
      </c>
    </row>
    <row r="571" spans="1:3" x14ac:dyDescent="0.3">
      <c r="A571" s="22">
        <v>-2.9500000000000001E-6</v>
      </c>
      <c r="B571" s="22">
        <v>-3.0640703329999999E-3</v>
      </c>
      <c r="C571" s="22">
        <f t="shared" si="8"/>
        <v>-3.0640703330000001</v>
      </c>
    </row>
    <row r="572" spans="1:3" x14ac:dyDescent="0.3">
      <c r="A572" s="22">
        <v>-2.9450000000000002E-6</v>
      </c>
      <c r="B572" s="22">
        <v>-2.7625627989999999E-3</v>
      </c>
      <c r="C572" s="22">
        <f t="shared" si="8"/>
        <v>-2.7625627989999999</v>
      </c>
    </row>
    <row r="573" spans="1:3" x14ac:dyDescent="0.3">
      <c r="A573" s="22">
        <v>-2.9399999999999998E-6</v>
      </c>
      <c r="B573" s="22">
        <v>-2.963567822E-3</v>
      </c>
      <c r="C573" s="22">
        <f t="shared" si="8"/>
        <v>-2.9635678219999999</v>
      </c>
    </row>
    <row r="574" spans="1:3" x14ac:dyDescent="0.3">
      <c r="A574" s="22">
        <v>-2.9349999999999999E-6</v>
      </c>
      <c r="B574" s="22">
        <v>-2.6620602880000001E-3</v>
      </c>
      <c r="C574" s="22">
        <f t="shared" si="8"/>
        <v>-2.6620602880000002</v>
      </c>
    </row>
    <row r="575" spans="1:3" x14ac:dyDescent="0.3">
      <c r="A575" s="22">
        <v>-2.9299999999999999E-6</v>
      </c>
      <c r="B575" s="22">
        <v>-3.1645728450000001E-3</v>
      </c>
      <c r="C575" s="22">
        <f t="shared" si="8"/>
        <v>-3.1645728450000004</v>
      </c>
    </row>
    <row r="576" spans="1:3" x14ac:dyDescent="0.3">
      <c r="A576" s="22">
        <v>-2.9249999999999999E-6</v>
      </c>
      <c r="B576" s="22">
        <v>-2.2600502419999999E-3</v>
      </c>
      <c r="C576" s="22">
        <f t="shared" si="8"/>
        <v>-2.2600502419999997</v>
      </c>
    </row>
    <row r="577" spans="1:3" x14ac:dyDescent="0.3">
      <c r="A577" s="22">
        <v>-2.92E-6</v>
      </c>
      <c r="B577" s="22">
        <v>-2.2600502419999999E-3</v>
      </c>
      <c r="C577" s="22">
        <f t="shared" si="8"/>
        <v>-2.2600502419999997</v>
      </c>
    </row>
    <row r="578" spans="1:3" x14ac:dyDescent="0.3">
      <c r="A578" s="22">
        <v>-2.915E-6</v>
      </c>
      <c r="B578" s="22">
        <v>-2.6620602880000001E-3</v>
      </c>
      <c r="C578" s="22">
        <f t="shared" si="8"/>
        <v>-2.6620602880000002</v>
      </c>
    </row>
    <row r="579" spans="1:3" x14ac:dyDescent="0.3">
      <c r="A579" s="22">
        <v>-2.9100000000000001E-6</v>
      </c>
      <c r="B579" s="22">
        <v>-2.3605527530000002E-3</v>
      </c>
      <c r="C579" s="22">
        <f t="shared" si="8"/>
        <v>-2.3605527530000003</v>
      </c>
    </row>
    <row r="580" spans="1:3" x14ac:dyDescent="0.3">
      <c r="A580" s="22">
        <v>-2.9050000000000001E-6</v>
      </c>
      <c r="B580" s="22">
        <v>-2.6620602880000001E-3</v>
      </c>
      <c r="C580" s="22">
        <f t="shared" ref="C580:C643" si="9">B580*10^3</f>
        <v>-2.6620602880000002</v>
      </c>
    </row>
    <row r="581" spans="1:3" x14ac:dyDescent="0.3">
      <c r="A581" s="22">
        <v>-2.9000000000000002E-6</v>
      </c>
      <c r="B581" s="22">
        <v>-2.2600502419999999E-3</v>
      </c>
      <c r="C581" s="22">
        <f t="shared" si="9"/>
        <v>-2.2600502419999997</v>
      </c>
    </row>
    <row r="582" spans="1:3" x14ac:dyDescent="0.3">
      <c r="A582" s="22">
        <v>-2.8949999999999998E-6</v>
      </c>
      <c r="B582" s="22">
        <v>-2.2600502419999999E-3</v>
      </c>
      <c r="C582" s="22">
        <f t="shared" si="9"/>
        <v>-2.2600502419999997</v>
      </c>
    </row>
    <row r="583" spans="1:3" x14ac:dyDescent="0.3">
      <c r="A583" s="22">
        <v>-2.8899999999999999E-6</v>
      </c>
      <c r="B583" s="22">
        <v>-2.1595477300000001E-3</v>
      </c>
      <c r="C583" s="22">
        <f t="shared" si="9"/>
        <v>-2.1595477299999999</v>
      </c>
    </row>
    <row r="584" spans="1:3" x14ac:dyDescent="0.3">
      <c r="A584" s="22">
        <v>-2.8849999999999999E-6</v>
      </c>
      <c r="B584" s="22">
        <v>-1.8580401959999999E-3</v>
      </c>
      <c r="C584" s="22">
        <f t="shared" si="9"/>
        <v>-1.8580401959999999</v>
      </c>
    </row>
    <row r="585" spans="1:3" x14ac:dyDescent="0.3">
      <c r="A585" s="22">
        <v>-2.88E-6</v>
      </c>
      <c r="B585" s="22">
        <v>-2.1595477300000001E-3</v>
      </c>
      <c r="C585" s="22">
        <f t="shared" si="9"/>
        <v>-2.1595477299999999</v>
      </c>
    </row>
    <row r="586" spans="1:3" x14ac:dyDescent="0.3">
      <c r="A586" s="22">
        <v>-2.875E-6</v>
      </c>
      <c r="B586" s="22">
        <v>-1.8580401959999999E-3</v>
      </c>
      <c r="C586" s="22">
        <f t="shared" si="9"/>
        <v>-1.8580401959999999</v>
      </c>
    </row>
    <row r="587" spans="1:3" x14ac:dyDescent="0.3">
      <c r="A587" s="22">
        <v>-2.8700000000000001E-6</v>
      </c>
      <c r="B587" s="22">
        <v>-1.958542707E-3</v>
      </c>
      <c r="C587" s="22">
        <f t="shared" si="9"/>
        <v>-1.9585427069999999</v>
      </c>
    </row>
    <row r="588" spans="1:3" x14ac:dyDescent="0.3">
      <c r="A588" s="22">
        <v>-2.8650000000000001E-6</v>
      </c>
      <c r="B588" s="22">
        <v>-3.5050252300000001E-4</v>
      </c>
      <c r="C588" s="22">
        <f t="shared" si="9"/>
        <v>-0.35050252300000001</v>
      </c>
    </row>
    <row r="589" spans="1:3" x14ac:dyDescent="0.3">
      <c r="A589" s="22">
        <v>-2.8600000000000001E-6</v>
      </c>
      <c r="B589" s="22">
        <v>1.52010034E-4</v>
      </c>
      <c r="C589" s="22">
        <f t="shared" si="9"/>
        <v>0.15201003400000002</v>
      </c>
    </row>
    <row r="590" spans="1:3" x14ac:dyDescent="0.3">
      <c r="A590" s="22">
        <v>-2.8550000000000002E-6</v>
      </c>
      <c r="B590" s="22">
        <v>2.5251254600000002E-4</v>
      </c>
      <c r="C590" s="22">
        <f t="shared" si="9"/>
        <v>0.252512546</v>
      </c>
    </row>
    <row r="591" spans="1:3" x14ac:dyDescent="0.3">
      <c r="A591" s="22">
        <v>-2.8499999999999998E-6</v>
      </c>
      <c r="B591" s="22">
        <v>9.56030126E-4</v>
      </c>
      <c r="C591" s="22">
        <f t="shared" si="9"/>
        <v>0.95603012600000004</v>
      </c>
    </row>
    <row r="592" spans="1:3" x14ac:dyDescent="0.3">
      <c r="A592" s="22">
        <v>-2.8449999999999999E-6</v>
      </c>
      <c r="B592" s="22">
        <v>6.5452259199999996E-4</v>
      </c>
      <c r="C592" s="22">
        <f t="shared" si="9"/>
        <v>0.65452259199999996</v>
      </c>
    </row>
    <row r="593" spans="1:3" x14ac:dyDescent="0.3">
      <c r="A593" s="22">
        <v>-2.8399999999999999E-6</v>
      </c>
      <c r="B593" s="22">
        <v>8.5552761399999996E-4</v>
      </c>
      <c r="C593" s="22">
        <f t="shared" si="9"/>
        <v>0.85552761399999999</v>
      </c>
    </row>
    <row r="594" spans="1:3" x14ac:dyDescent="0.3">
      <c r="A594" s="22">
        <v>-2.835E-6</v>
      </c>
      <c r="B594" s="22">
        <v>1.0565326370000001E-3</v>
      </c>
      <c r="C594" s="22">
        <f t="shared" si="9"/>
        <v>1.0565326370000001</v>
      </c>
    </row>
    <row r="595" spans="1:3" x14ac:dyDescent="0.3">
      <c r="A595" s="22">
        <v>-2.83E-6</v>
      </c>
      <c r="B595" s="22">
        <v>1.2575376599999999E-3</v>
      </c>
      <c r="C595" s="22">
        <f t="shared" si="9"/>
        <v>1.2575376599999999</v>
      </c>
    </row>
    <row r="596" spans="1:3" x14ac:dyDescent="0.3">
      <c r="A596" s="22">
        <v>-2.8250000000000001E-6</v>
      </c>
      <c r="B596" s="22">
        <v>1.2575376599999999E-3</v>
      </c>
      <c r="C596" s="22">
        <f t="shared" si="9"/>
        <v>1.2575376599999999</v>
      </c>
    </row>
    <row r="597" spans="1:3" x14ac:dyDescent="0.3">
      <c r="A597" s="22">
        <v>-2.8200000000000001E-6</v>
      </c>
      <c r="B597" s="22">
        <v>5.5402008000000002E-4</v>
      </c>
      <c r="C597" s="22">
        <f t="shared" si="9"/>
        <v>0.55402008000000003</v>
      </c>
    </row>
    <row r="598" spans="1:3" x14ac:dyDescent="0.3">
      <c r="A598" s="22">
        <v>-2.8150000000000002E-6</v>
      </c>
      <c r="B598" s="22">
        <v>-2.5000001200000001E-4</v>
      </c>
      <c r="C598" s="22">
        <f t="shared" si="9"/>
        <v>-0.25000001199999999</v>
      </c>
    </row>
    <row r="599" spans="1:3" x14ac:dyDescent="0.3">
      <c r="A599" s="22">
        <v>-2.8100000000000002E-6</v>
      </c>
      <c r="B599" s="22">
        <v>6.5452259199999996E-4</v>
      </c>
      <c r="C599" s="22">
        <f t="shared" si="9"/>
        <v>0.65452259199999996</v>
      </c>
    </row>
    <row r="600" spans="1:3" x14ac:dyDescent="0.3">
      <c r="A600" s="22">
        <v>-2.8049999999999998E-6</v>
      </c>
      <c r="B600" s="22">
        <v>4.5351756900000002E-4</v>
      </c>
      <c r="C600" s="22">
        <f t="shared" si="9"/>
        <v>0.45351756900000001</v>
      </c>
    </row>
    <row r="601" spans="1:3" x14ac:dyDescent="0.3">
      <c r="A601" s="22">
        <v>-2.7999999999999999E-6</v>
      </c>
      <c r="B601" s="22">
        <v>2.5251254600000002E-4</v>
      </c>
      <c r="C601" s="22">
        <f t="shared" si="9"/>
        <v>0.252512546</v>
      </c>
    </row>
    <row r="602" spans="1:3" x14ac:dyDescent="0.3">
      <c r="A602" s="22">
        <v>-2.7949999999999999E-6</v>
      </c>
      <c r="B602" s="22">
        <v>5.5402008000000002E-4</v>
      </c>
      <c r="C602" s="22">
        <f t="shared" si="9"/>
        <v>0.55402008000000003</v>
      </c>
    </row>
    <row r="603" spans="1:3" x14ac:dyDescent="0.3">
      <c r="A603" s="22">
        <v>-2.79E-6</v>
      </c>
      <c r="B603" s="22">
        <v>-1.4949749999999999E-4</v>
      </c>
      <c r="C603" s="22">
        <f t="shared" si="9"/>
        <v>-0.14949749999999998</v>
      </c>
    </row>
    <row r="604" spans="1:3" x14ac:dyDescent="0.3">
      <c r="A604" s="22">
        <v>-2.785E-6</v>
      </c>
      <c r="B604" s="22">
        <v>5.5402008000000002E-4</v>
      </c>
      <c r="C604" s="22">
        <f t="shared" si="9"/>
        <v>0.55402008000000003</v>
      </c>
    </row>
    <row r="605" spans="1:3" x14ac:dyDescent="0.3">
      <c r="A605" s="22">
        <v>-2.7800000000000001E-6</v>
      </c>
      <c r="B605" s="22">
        <v>2.5251254600000002E-4</v>
      </c>
      <c r="C605" s="22">
        <f t="shared" si="9"/>
        <v>0.252512546</v>
      </c>
    </row>
    <row r="606" spans="1:3" x14ac:dyDescent="0.3">
      <c r="A606" s="22">
        <v>-2.7750000000000001E-6</v>
      </c>
      <c r="B606" s="22">
        <v>-6.5201005800000005E-4</v>
      </c>
      <c r="C606" s="22">
        <f t="shared" si="9"/>
        <v>-0.652010058</v>
      </c>
    </row>
    <row r="607" spans="1:3" x14ac:dyDescent="0.3">
      <c r="A607" s="22">
        <v>-2.7700000000000002E-6</v>
      </c>
      <c r="B607" s="22">
        <v>-9.5351759199999999E-4</v>
      </c>
      <c r="C607" s="22">
        <f t="shared" si="9"/>
        <v>-0.95351759199999997</v>
      </c>
    </row>
    <row r="608" spans="1:3" x14ac:dyDescent="0.3">
      <c r="A608" s="22">
        <v>-2.7650000000000002E-6</v>
      </c>
      <c r="B608" s="22">
        <v>-1.4560301499999999E-3</v>
      </c>
      <c r="C608" s="22">
        <f t="shared" si="9"/>
        <v>-1.4560301499999999</v>
      </c>
    </row>
    <row r="609" spans="1:3" x14ac:dyDescent="0.3">
      <c r="A609" s="22">
        <v>-2.7599999999999998E-6</v>
      </c>
      <c r="B609" s="22">
        <v>-1.8580401959999999E-3</v>
      </c>
      <c r="C609" s="22">
        <f t="shared" si="9"/>
        <v>-1.8580401959999999</v>
      </c>
    </row>
    <row r="610" spans="1:3" x14ac:dyDescent="0.3">
      <c r="A610" s="22">
        <v>-2.7549999999999999E-6</v>
      </c>
      <c r="B610" s="22">
        <v>-1.8580401959999999E-3</v>
      </c>
      <c r="C610" s="22">
        <f t="shared" si="9"/>
        <v>-1.8580401959999999</v>
      </c>
    </row>
    <row r="611" spans="1:3" x14ac:dyDescent="0.3">
      <c r="A611" s="22">
        <v>-2.7499999999999999E-6</v>
      </c>
      <c r="B611" s="22">
        <v>-1.958542707E-3</v>
      </c>
      <c r="C611" s="22">
        <f t="shared" si="9"/>
        <v>-1.9585427069999999</v>
      </c>
    </row>
    <row r="612" spans="1:3" x14ac:dyDescent="0.3">
      <c r="A612" s="22">
        <v>-2.745E-6</v>
      </c>
      <c r="B612" s="22">
        <v>-1.556532661E-3</v>
      </c>
      <c r="C612" s="22">
        <f t="shared" si="9"/>
        <v>-1.5565326609999999</v>
      </c>
    </row>
    <row r="613" spans="1:3" x14ac:dyDescent="0.3">
      <c r="A613" s="22">
        <v>-2.74E-6</v>
      </c>
      <c r="B613" s="22">
        <v>-1.8580401959999999E-3</v>
      </c>
      <c r="C613" s="22">
        <f t="shared" si="9"/>
        <v>-1.8580401959999999</v>
      </c>
    </row>
    <row r="614" spans="1:3" x14ac:dyDescent="0.3">
      <c r="A614" s="22">
        <v>-2.7350000000000001E-6</v>
      </c>
      <c r="B614" s="22">
        <v>-3.1645728450000001E-3</v>
      </c>
      <c r="C614" s="22">
        <f t="shared" si="9"/>
        <v>-3.1645728450000004</v>
      </c>
    </row>
    <row r="615" spans="1:3" x14ac:dyDescent="0.3">
      <c r="A615" s="22">
        <v>-2.7300000000000001E-6</v>
      </c>
      <c r="B615" s="22">
        <v>-1.4560301499999999E-3</v>
      </c>
      <c r="C615" s="22">
        <f t="shared" si="9"/>
        <v>-1.4560301499999999</v>
      </c>
    </row>
    <row r="616" spans="1:3" x14ac:dyDescent="0.3">
      <c r="A616" s="22">
        <v>-2.7250000000000002E-6</v>
      </c>
      <c r="B616" s="22">
        <v>-2.6620602880000001E-3</v>
      </c>
      <c r="C616" s="22">
        <f t="shared" si="9"/>
        <v>-2.6620602880000002</v>
      </c>
    </row>
    <row r="617" spans="1:3" x14ac:dyDescent="0.3">
      <c r="A617" s="22">
        <v>-2.7199999999999998E-6</v>
      </c>
      <c r="B617" s="22">
        <v>-2.3605527530000002E-3</v>
      </c>
      <c r="C617" s="22">
        <f t="shared" si="9"/>
        <v>-2.3605527530000003</v>
      </c>
    </row>
    <row r="618" spans="1:3" x14ac:dyDescent="0.3">
      <c r="A618" s="22">
        <v>-2.7149999999999998E-6</v>
      </c>
      <c r="B618" s="22">
        <v>-2.2600502419999999E-3</v>
      </c>
      <c r="C618" s="22">
        <f t="shared" si="9"/>
        <v>-2.2600502419999997</v>
      </c>
    </row>
    <row r="619" spans="1:3" x14ac:dyDescent="0.3">
      <c r="A619" s="22">
        <v>-2.7099999999999999E-6</v>
      </c>
      <c r="B619" s="22">
        <v>-1.8580401959999999E-3</v>
      </c>
      <c r="C619" s="22">
        <f t="shared" si="9"/>
        <v>-1.8580401959999999</v>
      </c>
    </row>
    <row r="620" spans="1:3" x14ac:dyDescent="0.3">
      <c r="A620" s="22">
        <v>-2.7049999999999999E-6</v>
      </c>
      <c r="B620" s="22">
        <v>-1.0540201039999999E-3</v>
      </c>
      <c r="C620" s="22">
        <f t="shared" si="9"/>
        <v>-1.0540201039999999</v>
      </c>
    </row>
    <row r="621" spans="1:3" x14ac:dyDescent="0.3">
      <c r="A621" s="22">
        <v>-2.7E-6</v>
      </c>
      <c r="B621" s="22">
        <v>-1.8580401959999999E-3</v>
      </c>
      <c r="C621" s="22">
        <f t="shared" si="9"/>
        <v>-1.8580401959999999</v>
      </c>
    </row>
    <row r="622" spans="1:3" x14ac:dyDescent="0.3">
      <c r="A622" s="22">
        <v>-2.695E-6</v>
      </c>
      <c r="B622" s="22">
        <v>-9.5351759199999999E-4</v>
      </c>
      <c r="C622" s="22">
        <f t="shared" si="9"/>
        <v>-0.95351759199999997</v>
      </c>
    </row>
    <row r="623" spans="1:3" x14ac:dyDescent="0.3">
      <c r="A623" s="22">
        <v>-2.6900000000000001E-6</v>
      </c>
      <c r="B623" s="22">
        <v>-1.154522615E-3</v>
      </c>
      <c r="C623" s="22">
        <f t="shared" si="9"/>
        <v>-1.1545226150000001</v>
      </c>
    </row>
    <row r="624" spans="1:3" x14ac:dyDescent="0.3">
      <c r="A624" s="22">
        <v>-2.6850000000000001E-6</v>
      </c>
      <c r="B624" s="22">
        <v>-1.4560301499999999E-3</v>
      </c>
      <c r="C624" s="22">
        <f t="shared" si="9"/>
        <v>-1.4560301499999999</v>
      </c>
    </row>
    <row r="625" spans="1:3" x14ac:dyDescent="0.3">
      <c r="A625" s="22">
        <v>-2.6800000000000002E-6</v>
      </c>
      <c r="B625" s="22">
        <v>-4.8994988999999998E-5</v>
      </c>
      <c r="C625" s="22">
        <f t="shared" si="9"/>
        <v>-4.8994988999999996E-2</v>
      </c>
    </row>
    <row r="626" spans="1:3" x14ac:dyDescent="0.3">
      <c r="A626" s="22">
        <v>-2.6749999999999998E-6</v>
      </c>
      <c r="B626" s="22">
        <v>5.1507522999999997E-5</v>
      </c>
      <c r="C626" s="22">
        <f t="shared" si="9"/>
        <v>5.1507523E-2</v>
      </c>
    </row>
    <row r="627" spans="1:3" x14ac:dyDescent="0.3">
      <c r="A627" s="22">
        <v>-2.6699999999999998E-6</v>
      </c>
      <c r="B627" s="22">
        <v>-1.0540201039999999E-3</v>
      </c>
      <c r="C627" s="22">
        <f t="shared" si="9"/>
        <v>-1.0540201039999999</v>
      </c>
    </row>
    <row r="628" spans="1:3" x14ac:dyDescent="0.3">
      <c r="A628" s="22">
        <v>-2.6649999999999999E-6</v>
      </c>
      <c r="B628" s="22">
        <v>-4.8994988999999998E-5</v>
      </c>
      <c r="C628" s="22">
        <f t="shared" si="9"/>
        <v>-4.8994988999999996E-2</v>
      </c>
    </row>
    <row r="629" spans="1:3" x14ac:dyDescent="0.3">
      <c r="A629" s="22">
        <v>-2.6599999999999999E-6</v>
      </c>
      <c r="B629" s="22">
        <v>-1.4949749999999999E-4</v>
      </c>
      <c r="C629" s="22">
        <f t="shared" si="9"/>
        <v>-0.14949749999999998</v>
      </c>
    </row>
    <row r="630" spans="1:3" x14ac:dyDescent="0.3">
      <c r="A630" s="22">
        <v>-2.655E-6</v>
      </c>
      <c r="B630" s="22">
        <v>-2.5000001200000001E-4</v>
      </c>
      <c r="C630" s="22">
        <f t="shared" si="9"/>
        <v>-0.25000001199999999</v>
      </c>
    </row>
    <row r="631" spans="1:3" x14ac:dyDescent="0.3">
      <c r="A631" s="22">
        <v>-2.65E-6</v>
      </c>
      <c r="B631" s="22">
        <v>5.5402008000000002E-4</v>
      </c>
      <c r="C631" s="22">
        <f t="shared" si="9"/>
        <v>0.55402008000000003</v>
      </c>
    </row>
    <row r="632" spans="1:3" x14ac:dyDescent="0.3">
      <c r="A632" s="22">
        <v>-2.6450000000000001E-6</v>
      </c>
      <c r="B632" s="22">
        <v>7.5502510300000001E-4</v>
      </c>
      <c r="C632" s="22">
        <f t="shared" si="9"/>
        <v>0.75502510300000003</v>
      </c>
    </row>
    <row r="633" spans="1:3" x14ac:dyDescent="0.3">
      <c r="A633" s="22">
        <v>-2.6400000000000001E-6</v>
      </c>
      <c r="B633" s="22">
        <v>9.56030126E-4</v>
      </c>
      <c r="C633" s="22">
        <f t="shared" si="9"/>
        <v>0.95603012600000004</v>
      </c>
    </row>
    <row r="634" spans="1:3" x14ac:dyDescent="0.3">
      <c r="A634" s="22">
        <v>-2.6350000000000002E-6</v>
      </c>
      <c r="B634" s="22">
        <v>1.52010034E-4</v>
      </c>
      <c r="C634" s="22">
        <f t="shared" si="9"/>
        <v>0.15201003400000002</v>
      </c>
    </row>
    <row r="635" spans="1:3" x14ac:dyDescent="0.3">
      <c r="A635" s="22">
        <v>-2.6299999999999998E-6</v>
      </c>
      <c r="B635" s="22">
        <v>-2.5000001200000001E-4</v>
      </c>
      <c r="C635" s="22">
        <f t="shared" si="9"/>
        <v>-0.25000001199999999</v>
      </c>
    </row>
    <row r="636" spans="1:3" x14ac:dyDescent="0.3">
      <c r="A636" s="22">
        <v>-2.6249999999999999E-6</v>
      </c>
      <c r="B636" s="22">
        <v>1.52010034E-4</v>
      </c>
      <c r="C636" s="22">
        <f t="shared" si="9"/>
        <v>0.15201003400000002</v>
      </c>
    </row>
    <row r="637" spans="1:3" x14ac:dyDescent="0.3">
      <c r="A637" s="22">
        <v>-2.6199999999999999E-6</v>
      </c>
      <c r="B637" s="22">
        <v>-1.154522615E-3</v>
      </c>
      <c r="C637" s="22">
        <f t="shared" si="9"/>
        <v>-1.1545226150000001</v>
      </c>
    </row>
    <row r="638" spans="1:3" x14ac:dyDescent="0.3">
      <c r="A638" s="22">
        <v>-2.615E-6</v>
      </c>
      <c r="B638" s="22">
        <v>-1.0540201039999999E-3</v>
      </c>
      <c r="C638" s="22">
        <f t="shared" si="9"/>
        <v>-1.0540201039999999</v>
      </c>
    </row>
    <row r="639" spans="1:3" x14ac:dyDescent="0.3">
      <c r="A639" s="22">
        <v>-2.61E-6</v>
      </c>
      <c r="B639" s="22">
        <v>-6.5201005800000005E-4</v>
      </c>
      <c r="C639" s="22">
        <f t="shared" si="9"/>
        <v>-0.652010058</v>
      </c>
    </row>
    <row r="640" spans="1:3" x14ac:dyDescent="0.3">
      <c r="A640" s="22">
        <v>-2.605E-6</v>
      </c>
      <c r="B640" s="22">
        <v>-9.5351759199999999E-4</v>
      </c>
      <c r="C640" s="22">
        <f t="shared" si="9"/>
        <v>-0.95351759199999997</v>
      </c>
    </row>
    <row r="641" spans="1:3" x14ac:dyDescent="0.3">
      <c r="A641" s="22">
        <v>-2.6000000000000001E-6</v>
      </c>
      <c r="B641" s="22">
        <v>-3.5050252300000001E-4</v>
      </c>
      <c r="C641" s="22">
        <f t="shared" si="9"/>
        <v>-0.35050252300000001</v>
      </c>
    </row>
    <row r="642" spans="1:3" x14ac:dyDescent="0.3">
      <c r="A642" s="22">
        <v>-2.5950000000000001E-6</v>
      </c>
      <c r="B642" s="22">
        <v>-9.5351759199999999E-4</v>
      </c>
      <c r="C642" s="22">
        <f t="shared" si="9"/>
        <v>-0.95351759199999997</v>
      </c>
    </row>
    <row r="643" spans="1:3" x14ac:dyDescent="0.3">
      <c r="A643" s="22">
        <v>-2.5900000000000002E-6</v>
      </c>
      <c r="B643" s="22">
        <v>-1.8580401959999999E-3</v>
      </c>
      <c r="C643" s="22">
        <f t="shared" si="9"/>
        <v>-1.8580401959999999</v>
      </c>
    </row>
    <row r="644" spans="1:3" x14ac:dyDescent="0.3">
      <c r="A644" s="22">
        <v>-2.5849999999999998E-6</v>
      </c>
      <c r="B644" s="22">
        <v>-1.8580401959999999E-3</v>
      </c>
      <c r="C644" s="22">
        <f t="shared" ref="C644:C707" si="10">B644*10^3</f>
        <v>-1.8580401959999999</v>
      </c>
    </row>
    <row r="645" spans="1:3" x14ac:dyDescent="0.3">
      <c r="A645" s="22">
        <v>-2.5799999999999999E-6</v>
      </c>
      <c r="B645" s="22">
        <v>-3.0640703329999999E-3</v>
      </c>
      <c r="C645" s="22">
        <f t="shared" si="10"/>
        <v>-3.0640703330000001</v>
      </c>
    </row>
    <row r="646" spans="1:3" x14ac:dyDescent="0.3">
      <c r="A646" s="22">
        <v>-2.5749999999999999E-6</v>
      </c>
      <c r="B646" s="22">
        <v>-3.3655778679999998E-3</v>
      </c>
      <c r="C646" s="22">
        <f t="shared" si="10"/>
        <v>-3.3655778679999999</v>
      </c>
    </row>
    <row r="647" spans="1:3" x14ac:dyDescent="0.3">
      <c r="A647" s="22">
        <v>-2.57E-6</v>
      </c>
      <c r="B647" s="22">
        <v>-3.8680904249999998E-3</v>
      </c>
      <c r="C647" s="22">
        <f t="shared" si="10"/>
        <v>-3.8680904249999997</v>
      </c>
    </row>
    <row r="648" spans="1:3" x14ac:dyDescent="0.3">
      <c r="A648" s="22">
        <v>-2.565E-6</v>
      </c>
      <c r="B648" s="22">
        <v>-4.9736180519999998E-3</v>
      </c>
      <c r="C648" s="22">
        <f t="shared" si="10"/>
        <v>-4.973618052</v>
      </c>
    </row>
    <row r="649" spans="1:3" x14ac:dyDescent="0.3">
      <c r="A649" s="22">
        <v>-2.5600000000000001E-6</v>
      </c>
      <c r="B649" s="22">
        <v>-5.7776381440000002E-3</v>
      </c>
      <c r="C649" s="22">
        <f t="shared" si="10"/>
        <v>-5.777638144</v>
      </c>
    </row>
    <row r="650" spans="1:3" x14ac:dyDescent="0.3">
      <c r="A650" s="22">
        <v>-2.5550000000000001E-6</v>
      </c>
      <c r="B650" s="22">
        <v>-5.375628098E-3</v>
      </c>
      <c r="C650" s="22">
        <f t="shared" si="10"/>
        <v>-5.375628098</v>
      </c>
    </row>
    <row r="651" spans="1:3" x14ac:dyDescent="0.3">
      <c r="A651" s="22">
        <v>-2.5500000000000001E-6</v>
      </c>
      <c r="B651" s="22">
        <v>-5.1746230749999999E-3</v>
      </c>
      <c r="C651" s="22">
        <f t="shared" si="10"/>
        <v>-5.1746230749999995</v>
      </c>
    </row>
    <row r="652" spans="1:3" x14ac:dyDescent="0.3">
      <c r="A652" s="22">
        <v>-2.5450000000000002E-6</v>
      </c>
      <c r="B652" s="22">
        <v>-4.1695979600000002E-3</v>
      </c>
      <c r="C652" s="22">
        <f t="shared" si="10"/>
        <v>-4.1695979599999999</v>
      </c>
    </row>
    <row r="653" spans="1:3" x14ac:dyDescent="0.3">
      <c r="A653" s="22">
        <v>-2.5399999999999998E-6</v>
      </c>
      <c r="B653" s="22">
        <v>-4.6721105170000003E-3</v>
      </c>
      <c r="C653" s="22">
        <f t="shared" si="10"/>
        <v>-4.6721105170000001</v>
      </c>
    </row>
    <row r="654" spans="1:3" x14ac:dyDescent="0.3">
      <c r="A654" s="22">
        <v>-2.5349999999999999E-6</v>
      </c>
      <c r="B654" s="22">
        <v>-3.767587914E-3</v>
      </c>
      <c r="C654" s="22">
        <f t="shared" si="10"/>
        <v>-3.7675879139999999</v>
      </c>
    </row>
    <row r="655" spans="1:3" x14ac:dyDescent="0.3">
      <c r="A655" s="22">
        <v>-2.5299999999999999E-6</v>
      </c>
      <c r="B655" s="22">
        <v>-3.9685929370000001E-3</v>
      </c>
      <c r="C655" s="22">
        <f t="shared" si="10"/>
        <v>-3.9685929369999999</v>
      </c>
    </row>
    <row r="656" spans="1:3" x14ac:dyDescent="0.3">
      <c r="A656" s="22">
        <v>-2.525E-6</v>
      </c>
      <c r="B656" s="22">
        <v>-2.8630653110000002E-3</v>
      </c>
      <c r="C656" s="22">
        <f t="shared" si="10"/>
        <v>-2.8630653110000002</v>
      </c>
    </row>
    <row r="657" spans="1:3" x14ac:dyDescent="0.3">
      <c r="A657" s="22">
        <v>-2.52E-6</v>
      </c>
      <c r="B657" s="22">
        <v>-2.2600502419999999E-3</v>
      </c>
      <c r="C657" s="22">
        <f t="shared" si="10"/>
        <v>-2.2600502419999997</v>
      </c>
    </row>
    <row r="658" spans="1:3" x14ac:dyDescent="0.3">
      <c r="A658" s="22">
        <v>-2.5150000000000001E-6</v>
      </c>
      <c r="B658" s="22">
        <v>-1.4560301499999999E-3</v>
      </c>
      <c r="C658" s="22">
        <f t="shared" si="10"/>
        <v>-1.4560301499999999</v>
      </c>
    </row>
    <row r="659" spans="1:3" x14ac:dyDescent="0.3">
      <c r="A659" s="22">
        <v>-2.5100000000000001E-6</v>
      </c>
      <c r="B659" s="22">
        <v>-1.4560301499999999E-3</v>
      </c>
      <c r="C659" s="22">
        <f t="shared" si="10"/>
        <v>-1.4560301499999999</v>
      </c>
    </row>
    <row r="660" spans="1:3" x14ac:dyDescent="0.3">
      <c r="A660" s="22">
        <v>-2.5050000000000002E-6</v>
      </c>
      <c r="B660" s="22">
        <v>-1.556532661E-3</v>
      </c>
      <c r="C660" s="22">
        <f t="shared" si="10"/>
        <v>-1.5565326609999999</v>
      </c>
    </row>
    <row r="661" spans="1:3" x14ac:dyDescent="0.3">
      <c r="A661" s="22">
        <v>-2.5000000000000002E-6</v>
      </c>
      <c r="B661" s="22">
        <v>-1.958542707E-3</v>
      </c>
      <c r="C661" s="22">
        <f t="shared" si="10"/>
        <v>-1.9585427069999999</v>
      </c>
    </row>
    <row r="662" spans="1:3" x14ac:dyDescent="0.3">
      <c r="A662" s="22">
        <v>-2.4949999999999998E-6</v>
      </c>
      <c r="B662" s="22">
        <v>-2.0590452189999998E-3</v>
      </c>
      <c r="C662" s="22">
        <f t="shared" si="10"/>
        <v>-2.0590452189999997</v>
      </c>
    </row>
    <row r="663" spans="1:3" x14ac:dyDescent="0.3">
      <c r="A663" s="22">
        <v>-2.4899999999999999E-6</v>
      </c>
      <c r="B663" s="22">
        <v>-1.154522615E-3</v>
      </c>
      <c r="C663" s="22">
        <f t="shared" si="10"/>
        <v>-1.1545226150000001</v>
      </c>
    </row>
    <row r="664" spans="1:3" x14ac:dyDescent="0.3">
      <c r="A664" s="22">
        <v>-2.4849999999999999E-6</v>
      </c>
      <c r="B664" s="22">
        <v>-6.5201005800000005E-4</v>
      </c>
      <c r="C664" s="22">
        <f t="shared" si="10"/>
        <v>-0.652010058</v>
      </c>
    </row>
    <row r="665" spans="1:3" x14ac:dyDescent="0.3">
      <c r="A665" s="22">
        <v>-2.48E-6</v>
      </c>
      <c r="B665" s="22">
        <v>1.52010034E-4</v>
      </c>
      <c r="C665" s="22">
        <f t="shared" si="10"/>
        <v>0.15201003400000002</v>
      </c>
    </row>
    <row r="666" spans="1:3" x14ac:dyDescent="0.3">
      <c r="A666" s="22">
        <v>-2.475E-6</v>
      </c>
      <c r="B666" s="22">
        <v>4.5351756900000002E-4</v>
      </c>
      <c r="C666" s="22">
        <f t="shared" si="10"/>
        <v>0.45351756900000001</v>
      </c>
    </row>
    <row r="667" spans="1:3" x14ac:dyDescent="0.3">
      <c r="A667" s="22">
        <v>-2.4700000000000001E-6</v>
      </c>
      <c r="B667" s="22">
        <v>5.5402008000000002E-4</v>
      </c>
      <c r="C667" s="22">
        <f t="shared" si="10"/>
        <v>0.55402008000000003</v>
      </c>
    </row>
    <row r="668" spans="1:3" x14ac:dyDescent="0.3">
      <c r="A668" s="22">
        <v>-2.4650000000000001E-6</v>
      </c>
      <c r="B668" s="22">
        <v>9.56030126E-4</v>
      </c>
      <c r="C668" s="22">
        <f t="shared" si="10"/>
        <v>0.95603012600000004</v>
      </c>
    </row>
    <row r="669" spans="1:3" x14ac:dyDescent="0.3">
      <c r="A669" s="22">
        <v>-2.4600000000000002E-6</v>
      </c>
      <c r="B669" s="22">
        <v>2.0615577519999999E-3</v>
      </c>
      <c r="C669" s="22">
        <f t="shared" si="10"/>
        <v>2.0615577520000001</v>
      </c>
    </row>
    <row r="670" spans="1:3" x14ac:dyDescent="0.3">
      <c r="A670" s="22">
        <v>-2.4550000000000002E-6</v>
      </c>
      <c r="B670" s="22">
        <v>1.860552729E-3</v>
      </c>
      <c r="C670" s="22">
        <f t="shared" si="10"/>
        <v>1.8605527290000001</v>
      </c>
    </row>
    <row r="671" spans="1:3" x14ac:dyDescent="0.3">
      <c r="A671" s="22">
        <v>-2.4499999999999998E-6</v>
      </c>
      <c r="B671" s="22">
        <v>1.760050218E-3</v>
      </c>
      <c r="C671" s="22">
        <f t="shared" si="10"/>
        <v>1.7600502179999999</v>
      </c>
    </row>
    <row r="672" spans="1:3" x14ac:dyDescent="0.3">
      <c r="A672" s="22">
        <v>-2.4449999999999999E-6</v>
      </c>
      <c r="B672" s="22">
        <v>2.4635677980000001E-3</v>
      </c>
      <c r="C672" s="22">
        <f t="shared" si="10"/>
        <v>2.4635677980000001</v>
      </c>
    </row>
    <row r="673" spans="1:3" x14ac:dyDescent="0.3">
      <c r="A673" s="22">
        <v>-2.4399999999999999E-6</v>
      </c>
      <c r="B673" s="22">
        <v>3.066582867E-3</v>
      </c>
      <c r="C673" s="22">
        <f t="shared" si="10"/>
        <v>3.0665828670000002</v>
      </c>
    </row>
    <row r="674" spans="1:3" x14ac:dyDescent="0.3">
      <c r="A674" s="22">
        <v>-2.435E-6</v>
      </c>
      <c r="B674" s="22">
        <v>3.4685929130000002E-3</v>
      </c>
      <c r="C674" s="22">
        <f t="shared" si="10"/>
        <v>3.4685929130000002</v>
      </c>
    </row>
    <row r="675" spans="1:3" x14ac:dyDescent="0.3">
      <c r="A675" s="22">
        <v>-2.43E-6</v>
      </c>
      <c r="B675" s="22">
        <v>3.7701004480000001E-3</v>
      </c>
      <c r="C675" s="22">
        <f t="shared" si="10"/>
        <v>3.770100448</v>
      </c>
    </row>
    <row r="676" spans="1:3" x14ac:dyDescent="0.3">
      <c r="A676" s="22">
        <v>-2.4250000000000001E-6</v>
      </c>
      <c r="B676" s="22">
        <v>2.4635677980000001E-3</v>
      </c>
      <c r="C676" s="22">
        <f t="shared" si="10"/>
        <v>2.4635677980000001</v>
      </c>
    </row>
    <row r="677" spans="1:3" x14ac:dyDescent="0.3">
      <c r="A677" s="22">
        <v>-2.4200000000000001E-6</v>
      </c>
      <c r="B677" s="22">
        <v>2.0615577519999999E-3</v>
      </c>
      <c r="C677" s="22">
        <f t="shared" si="10"/>
        <v>2.0615577520000001</v>
      </c>
    </row>
    <row r="678" spans="1:3" x14ac:dyDescent="0.3">
      <c r="A678" s="22">
        <v>-2.4150000000000002E-6</v>
      </c>
      <c r="B678" s="22">
        <v>2.262562775E-3</v>
      </c>
      <c r="C678" s="22">
        <f t="shared" si="10"/>
        <v>2.2625627750000001</v>
      </c>
    </row>
    <row r="679" spans="1:3" x14ac:dyDescent="0.3">
      <c r="A679" s="22">
        <v>-2.4099999999999998E-6</v>
      </c>
      <c r="B679" s="22">
        <v>1.2575376599999999E-3</v>
      </c>
      <c r="C679" s="22">
        <f t="shared" si="10"/>
        <v>1.2575376599999999</v>
      </c>
    </row>
    <row r="680" spans="1:3" x14ac:dyDescent="0.3">
      <c r="A680" s="22">
        <v>-2.4049999999999998E-6</v>
      </c>
      <c r="B680" s="22">
        <v>-6.5201005800000005E-4</v>
      </c>
      <c r="C680" s="22">
        <f t="shared" si="10"/>
        <v>-0.652010058</v>
      </c>
    </row>
    <row r="681" spans="1:3" x14ac:dyDescent="0.3">
      <c r="A681" s="22">
        <v>-2.3999999999999999E-6</v>
      </c>
      <c r="B681" s="22">
        <v>-1.4560301499999999E-3</v>
      </c>
      <c r="C681" s="22">
        <f t="shared" si="10"/>
        <v>-1.4560301499999999</v>
      </c>
    </row>
    <row r="682" spans="1:3" x14ac:dyDescent="0.3">
      <c r="A682" s="22">
        <v>-2.3949999999999999E-6</v>
      </c>
      <c r="B682" s="22">
        <v>-1.4560301499999999E-3</v>
      </c>
      <c r="C682" s="22">
        <f t="shared" si="10"/>
        <v>-1.4560301499999999</v>
      </c>
    </row>
    <row r="683" spans="1:3" x14ac:dyDescent="0.3">
      <c r="A683" s="22">
        <v>-2.39E-6</v>
      </c>
      <c r="B683" s="22">
        <v>-7.52512569E-4</v>
      </c>
      <c r="C683" s="22">
        <f t="shared" si="10"/>
        <v>-0.75251256899999996</v>
      </c>
    </row>
    <row r="684" spans="1:3" x14ac:dyDescent="0.3">
      <c r="A684" s="22">
        <v>-2.385E-6</v>
      </c>
      <c r="B684" s="22">
        <v>-1.154522615E-3</v>
      </c>
      <c r="C684" s="22">
        <f t="shared" si="10"/>
        <v>-1.1545226150000001</v>
      </c>
    </row>
    <row r="685" spans="1:3" x14ac:dyDescent="0.3">
      <c r="A685" s="22">
        <v>-2.3800000000000001E-6</v>
      </c>
      <c r="B685" s="22">
        <v>-1.556532661E-3</v>
      </c>
      <c r="C685" s="22">
        <f t="shared" si="10"/>
        <v>-1.5565326609999999</v>
      </c>
    </row>
    <row r="686" spans="1:3" x14ac:dyDescent="0.3">
      <c r="A686" s="22">
        <v>-2.3750000000000001E-6</v>
      </c>
      <c r="B686" s="22">
        <v>-1.8580401959999999E-3</v>
      </c>
      <c r="C686" s="22">
        <f t="shared" si="10"/>
        <v>-1.8580401959999999</v>
      </c>
    </row>
    <row r="687" spans="1:3" x14ac:dyDescent="0.3">
      <c r="A687" s="22">
        <v>-2.3700000000000002E-6</v>
      </c>
      <c r="B687" s="22">
        <v>-2.7625627989999999E-3</v>
      </c>
      <c r="C687" s="22">
        <f t="shared" si="10"/>
        <v>-2.7625627989999999</v>
      </c>
    </row>
    <row r="688" spans="1:3" x14ac:dyDescent="0.3">
      <c r="A688" s="22">
        <v>-2.3649999999999998E-6</v>
      </c>
      <c r="B688" s="22">
        <v>-3.3655778679999998E-3</v>
      </c>
      <c r="C688" s="22">
        <f t="shared" si="10"/>
        <v>-3.3655778679999999</v>
      </c>
    </row>
    <row r="689" spans="1:3" x14ac:dyDescent="0.3">
      <c r="A689" s="22">
        <v>-2.3599999999999999E-6</v>
      </c>
      <c r="B689" s="22">
        <v>-3.9685929370000001E-3</v>
      </c>
      <c r="C689" s="22">
        <f t="shared" si="10"/>
        <v>-3.9685929369999999</v>
      </c>
    </row>
    <row r="690" spans="1:3" x14ac:dyDescent="0.3">
      <c r="A690" s="22">
        <v>-2.3549999999999999E-6</v>
      </c>
      <c r="B690" s="22">
        <v>-2.8630653110000002E-3</v>
      </c>
      <c r="C690" s="22">
        <f t="shared" si="10"/>
        <v>-2.8630653110000002</v>
      </c>
    </row>
    <row r="691" spans="1:3" x14ac:dyDescent="0.3">
      <c r="A691" s="22">
        <v>-2.3499999999999999E-6</v>
      </c>
      <c r="B691" s="22">
        <v>-3.0640703329999999E-3</v>
      </c>
      <c r="C691" s="22">
        <f t="shared" si="10"/>
        <v>-3.0640703330000001</v>
      </c>
    </row>
    <row r="692" spans="1:3" x14ac:dyDescent="0.3">
      <c r="A692" s="22">
        <v>-2.345E-6</v>
      </c>
      <c r="B692" s="22">
        <v>-2.7625627989999999E-3</v>
      </c>
      <c r="C692" s="22">
        <f t="shared" si="10"/>
        <v>-2.7625627989999999</v>
      </c>
    </row>
    <row r="693" spans="1:3" x14ac:dyDescent="0.3">
      <c r="A693" s="22">
        <v>-2.34E-6</v>
      </c>
      <c r="B693" s="22">
        <v>-3.8680904249999998E-3</v>
      </c>
      <c r="C693" s="22">
        <f t="shared" si="10"/>
        <v>-3.8680904249999997</v>
      </c>
    </row>
    <row r="694" spans="1:3" x14ac:dyDescent="0.3">
      <c r="A694" s="22">
        <v>-2.3350000000000001E-6</v>
      </c>
      <c r="B694" s="22">
        <v>-4.1695979600000002E-3</v>
      </c>
      <c r="C694" s="22">
        <f t="shared" si="10"/>
        <v>-4.1695979599999999</v>
      </c>
    </row>
    <row r="695" spans="1:3" x14ac:dyDescent="0.3">
      <c r="A695" s="22">
        <v>-2.3300000000000001E-6</v>
      </c>
      <c r="B695" s="22">
        <v>-3.9685929370000001E-3</v>
      </c>
      <c r="C695" s="22">
        <f t="shared" si="10"/>
        <v>-3.9685929369999999</v>
      </c>
    </row>
    <row r="696" spans="1:3" x14ac:dyDescent="0.3">
      <c r="A696" s="22">
        <v>-2.3250000000000002E-6</v>
      </c>
      <c r="B696" s="22">
        <v>-4.2701004710000001E-3</v>
      </c>
      <c r="C696" s="22">
        <f t="shared" si="10"/>
        <v>-4.2701004710000001</v>
      </c>
    </row>
    <row r="697" spans="1:3" x14ac:dyDescent="0.3">
      <c r="A697" s="22">
        <v>-2.3199999999999998E-6</v>
      </c>
      <c r="B697" s="22">
        <v>-3.8680904249999998E-3</v>
      </c>
      <c r="C697" s="22">
        <f t="shared" si="10"/>
        <v>-3.8680904249999997</v>
      </c>
    </row>
    <row r="698" spans="1:3" x14ac:dyDescent="0.3">
      <c r="A698" s="22">
        <v>-2.3149999999999999E-6</v>
      </c>
      <c r="B698" s="22">
        <v>-2.2600502419999999E-3</v>
      </c>
      <c r="C698" s="22">
        <f t="shared" si="10"/>
        <v>-2.2600502419999997</v>
      </c>
    </row>
    <row r="699" spans="1:3" x14ac:dyDescent="0.3">
      <c r="A699" s="22">
        <v>-2.3099999999999999E-6</v>
      </c>
      <c r="B699" s="22">
        <v>-1.4560301499999999E-3</v>
      </c>
      <c r="C699" s="22">
        <f t="shared" si="10"/>
        <v>-1.4560301499999999</v>
      </c>
    </row>
    <row r="700" spans="1:3" x14ac:dyDescent="0.3">
      <c r="A700" s="22">
        <v>-2.305E-6</v>
      </c>
      <c r="B700" s="22">
        <v>-2.0590452189999998E-3</v>
      </c>
      <c r="C700" s="22">
        <f t="shared" si="10"/>
        <v>-2.0590452189999997</v>
      </c>
    </row>
    <row r="701" spans="1:3" x14ac:dyDescent="0.3">
      <c r="A701" s="22">
        <v>-2.3E-6</v>
      </c>
      <c r="B701" s="22">
        <v>-1.556532661E-3</v>
      </c>
      <c r="C701" s="22">
        <f t="shared" si="10"/>
        <v>-1.5565326609999999</v>
      </c>
    </row>
    <row r="702" spans="1:3" x14ac:dyDescent="0.3">
      <c r="A702" s="22">
        <v>-2.295E-6</v>
      </c>
      <c r="B702" s="22">
        <v>-1.4560301499999999E-3</v>
      </c>
      <c r="C702" s="22">
        <f t="shared" si="10"/>
        <v>-1.4560301499999999</v>
      </c>
    </row>
    <row r="703" spans="1:3" x14ac:dyDescent="0.3">
      <c r="A703" s="22">
        <v>-2.2900000000000001E-6</v>
      </c>
      <c r="B703" s="22">
        <v>-1.8580401959999999E-3</v>
      </c>
      <c r="C703" s="22">
        <f t="shared" si="10"/>
        <v>-1.8580401959999999</v>
      </c>
    </row>
    <row r="704" spans="1:3" x14ac:dyDescent="0.3">
      <c r="A704" s="22">
        <v>-2.2850000000000001E-6</v>
      </c>
      <c r="B704" s="22">
        <v>-2.2600502419999999E-3</v>
      </c>
      <c r="C704" s="22">
        <f t="shared" si="10"/>
        <v>-2.2600502419999997</v>
      </c>
    </row>
    <row r="705" spans="1:3" x14ac:dyDescent="0.3">
      <c r="A705" s="22">
        <v>-2.2800000000000002E-6</v>
      </c>
      <c r="B705" s="22">
        <v>-1.556532661E-3</v>
      </c>
      <c r="C705" s="22">
        <f t="shared" si="10"/>
        <v>-1.5565326609999999</v>
      </c>
    </row>
    <row r="706" spans="1:3" x14ac:dyDescent="0.3">
      <c r="A706" s="22">
        <v>-2.2749999999999998E-6</v>
      </c>
      <c r="B706" s="22">
        <v>-6.5201005800000005E-4</v>
      </c>
      <c r="C706" s="22">
        <f t="shared" si="10"/>
        <v>-0.652010058</v>
      </c>
    </row>
    <row r="707" spans="1:3" x14ac:dyDescent="0.3">
      <c r="A707" s="22">
        <v>-2.2699999999999999E-6</v>
      </c>
      <c r="B707" s="22">
        <v>-1.154522615E-3</v>
      </c>
      <c r="C707" s="22">
        <f t="shared" si="10"/>
        <v>-1.1545226150000001</v>
      </c>
    </row>
    <row r="708" spans="1:3" x14ac:dyDescent="0.3">
      <c r="A708" s="22">
        <v>-2.2649999999999999E-6</v>
      </c>
      <c r="B708" s="22">
        <v>-6.5201005800000005E-4</v>
      </c>
      <c r="C708" s="22">
        <f t="shared" ref="C708:C771" si="11">B708*10^3</f>
        <v>-0.652010058</v>
      </c>
    </row>
    <row r="709" spans="1:3" x14ac:dyDescent="0.3">
      <c r="A709" s="22">
        <v>-2.26E-6</v>
      </c>
      <c r="B709" s="22">
        <v>-3.5050252300000001E-4</v>
      </c>
      <c r="C709" s="22">
        <f t="shared" si="11"/>
        <v>-0.35050252300000001</v>
      </c>
    </row>
    <row r="710" spans="1:3" x14ac:dyDescent="0.3">
      <c r="A710" s="22">
        <v>-2.255E-6</v>
      </c>
      <c r="B710" s="22">
        <v>-2.5000001200000001E-4</v>
      </c>
      <c r="C710" s="22">
        <f t="shared" si="11"/>
        <v>-0.25000001199999999</v>
      </c>
    </row>
    <row r="711" spans="1:3" x14ac:dyDescent="0.3">
      <c r="A711" s="22">
        <v>-2.2500000000000001E-6</v>
      </c>
      <c r="B711" s="22">
        <v>-2.5000001200000001E-4</v>
      </c>
      <c r="C711" s="22">
        <f t="shared" si="11"/>
        <v>-0.25000001199999999</v>
      </c>
    </row>
    <row r="712" spans="1:3" x14ac:dyDescent="0.3">
      <c r="A712" s="22">
        <v>-2.2450000000000001E-6</v>
      </c>
      <c r="B712" s="22">
        <v>-2.5000001200000001E-4</v>
      </c>
      <c r="C712" s="22">
        <f t="shared" si="11"/>
        <v>-0.25000001199999999</v>
      </c>
    </row>
    <row r="713" spans="1:3" x14ac:dyDescent="0.3">
      <c r="A713" s="22">
        <v>-2.2400000000000002E-6</v>
      </c>
      <c r="B713" s="22">
        <v>-2.5000001200000001E-4</v>
      </c>
      <c r="C713" s="22">
        <f t="shared" si="11"/>
        <v>-0.25000001199999999</v>
      </c>
    </row>
    <row r="714" spans="1:3" x14ac:dyDescent="0.3">
      <c r="A714" s="22">
        <v>-2.2350000000000002E-6</v>
      </c>
      <c r="B714" s="22">
        <v>-6.5201005800000005E-4</v>
      </c>
      <c r="C714" s="22">
        <f t="shared" si="11"/>
        <v>-0.652010058</v>
      </c>
    </row>
    <row r="715" spans="1:3" x14ac:dyDescent="0.3">
      <c r="A715" s="22">
        <v>-2.2299999999999998E-6</v>
      </c>
      <c r="B715" s="22">
        <v>-1.154522615E-3</v>
      </c>
      <c r="C715" s="22">
        <f t="shared" si="11"/>
        <v>-1.1545226150000001</v>
      </c>
    </row>
    <row r="716" spans="1:3" x14ac:dyDescent="0.3">
      <c r="A716" s="22">
        <v>-2.2249999999999999E-6</v>
      </c>
      <c r="B716" s="22">
        <v>-1.4560301499999999E-3</v>
      </c>
      <c r="C716" s="22">
        <f t="shared" si="11"/>
        <v>-1.4560301499999999</v>
      </c>
    </row>
    <row r="717" spans="1:3" x14ac:dyDescent="0.3">
      <c r="A717" s="22">
        <v>-2.2199999999999999E-6</v>
      </c>
      <c r="B717" s="22">
        <v>-1.154522615E-3</v>
      </c>
      <c r="C717" s="22">
        <f t="shared" si="11"/>
        <v>-1.1545226150000001</v>
      </c>
    </row>
    <row r="718" spans="1:3" x14ac:dyDescent="0.3">
      <c r="A718" s="22">
        <v>-2.215E-6</v>
      </c>
      <c r="B718" s="22">
        <v>-1.958542707E-3</v>
      </c>
      <c r="C718" s="22">
        <f t="shared" si="11"/>
        <v>-1.9585427069999999</v>
      </c>
    </row>
    <row r="719" spans="1:3" x14ac:dyDescent="0.3">
      <c r="A719" s="22">
        <v>-2.21E-6</v>
      </c>
      <c r="B719" s="22">
        <v>-2.2600502419999999E-3</v>
      </c>
      <c r="C719" s="22">
        <f t="shared" si="11"/>
        <v>-2.2600502419999997</v>
      </c>
    </row>
    <row r="720" spans="1:3" x14ac:dyDescent="0.3">
      <c r="A720" s="22">
        <v>-2.2050000000000001E-6</v>
      </c>
      <c r="B720" s="22">
        <v>-2.3605527530000002E-3</v>
      </c>
      <c r="C720" s="22">
        <f t="shared" si="11"/>
        <v>-2.3605527530000003</v>
      </c>
    </row>
    <row r="721" spans="1:3" x14ac:dyDescent="0.3">
      <c r="A721" s="22">
        <v>-2.2000000000000001E-6</v>
      </c>
      <c r="B721" s="22">
        <v>-2.461055265E-3</v>
      </c>
      <c r="C721" s="22">
        <f t="shared" si="11"/>
        <v>-2.4610552650000002</v>
      </c>
    </row>
    <row r="722" spans="1:3" x14ac:dyDescent="0.3">
      <c r="A722" s="22">
        <v>-2.1950000000000002E-6</v>
      </c>
      <c r="B722" s="22">
        <v>-2.2600502419999999E-3</v>
      </c>
      <c r="C722" s="22">
        <f t="shared" si="11"/>
        <v>-2.2600502419999997</v>
      </c>
    </row>
    <row r="723" spans="1:3" x14ac:dyDescent="0.3">
      <c r="A723" s="22">
        <v>-2.1900000000000002E-6</v>
      </c>
      <c r="B723" s="22">
        <v>-1.3555276380000001E-3</v>
      </c>
      <c r="C723" s="22">
        <f t="shared" si="11"/>
        <v>-1.3555276380000001</v>
      </c>
    </row>
    <row r="724" spans="1:3" x14ac:dyDescent="0.3">
      <c r="A724" s="22">
        <v>-2.1849999999999998E-6</v>
      </c>
      <c r="B724" s="22">
        <v>-2.6620602880000001E-3</v>
      </c>
      <c r="C724" s="22">
        <f t="shared" si="11"/>
        <v>-2.6620602880000002</v>
      </c>
    </row>
    <row r="725" spans="1:3" x14ac:dyDescent="0.3">
      <c r="A725" s="22">
        <v>-2.1799999999999999E-6</v>
      </c>
      <c r="B725" s="22">
        <v>-1.958542707E-3</v>
      </c>
      <c r="C725" s="22">
        <f t="shared" si="11"/>
        <v>-1.9585427069999999</v>
      </c>
    </row>
    <row r="726" spans="1:3" x14ac:dyDescent="0.3">
      <c r="A726" s="22">
        <v>-2.1749999999999999E-6</v>
      </c>
      <c r="B726" s="22">
        <v>-2.2600502419999999E-3</v>
      </c>
      <c r="C726" s="22">
        <f t="shared" si="11"/>
        <v>-2.2600502419999997</v>
      </c>
    </row>
    <row r="727" spans="1:3" x14ac:dyDescent="0.3">
      <c r="A727" s="22">
        <v>-2.17E-6</v>
      </c>
      <c r="B727" s="22">
        <v>-1.958542707E-3</v>
      </c>
      <c r="C727" s="22">
        <f t="shared" si="11"/>
        <v>-1.9585427069999999</v>
      </c>
    </row>
    <row r="728" spans="1:3" x14ac:dyDescent="0.3">
      <c r="A728" s="22">
        <v>-2.165E-6</v>
      </c>
      <c r="B728" s="22">
        <v>-1.7575376840000001E-3</v>
      </c>
      <c r="C728" s="22">
        <f t="shared" si="11"/>
        <v>-1.7575376840000001</v>
      </c>
    </row>
    <row r="729" spans="1:3" x14ac:dyDescent="0.3">
      <c r="A729" s="22">
        <v>-2.1600000000000001E-6</v>
      </c>
      <c r="B729" s="22">
        <v>-2.5615577759999998E-3</v>
      </c>
      <c r="C729" s="22">
        <f t="shared" si="11"/>
        <v>-2.5615577759999999</v>
      </c>
    </row>
    <row r="730" spans="1:3" x14ac:dyDescent="0.3">
      <c r="A730" s="22">
        <v>-2.1550000000000001E-6</v>
      </c>
      <c r="B730" s="22">
        <v>-2.2600502419999999E-3</v>
      </c>
      <c r="C730" s="22">
        <f t="shared" si="11"/>
        <v>-2.2600502419999997</v>
      </c>
    </row>
    <row r="731" spans="1:3" x14ac:dyDescent="0.3">
      <c r="A731" s="22">
        <v>-2.1500000000000002E-6</v>
      </c>
      <c r="B731" s="22">
        <v>-2.2600502419999999E-3</v>
      </c>
      <c r="C731" s="22">
        <f t="shared" si="11"/>
        <v>-2.2600502419999997</v>
      </c>
    </row>
    <row r="732" spans="1:3" x14ac:dyDescent="0.3">
      <c r="A732" s="22">
        <v>-2.1449999999999998E-6</v>
      </c>
      <c r="B732" s="22">
        <v>-3.1645728450000001E-3</v>
      </c>
      <c r="C732" s="22">
        <f t="shared" si="11"/>
        <v>-3.1645728450000004</v>
      </c>
    </row>
    <row r="733" spans="1:3" x14ac:dyDescent="0.3">
      <c r="A733" s="22">
        <v>-2.1399999999999998E-6</v>
      </c>
      <c r="B733" s="22">
        <v>-2.6620602880000001E-3</v>
      </c>
      <c r="C733" s="22">
        <f t="shared" si="11"/>
        <v>-2.6620602880000002</v>
      </c>
    </row>
    <row r="734" spans="1:3" x14ac:dyDescent="0.3">
      <c r="A734" s="22">
        <v>-2.1349999999999999E-6</v>
      </c>
      <c r="B734" s="22">
        <v>-2.2600502419999999E-3</v>
      </c>
      <c r="C734" s="22">
        <f t="shared" si="11"/>
        <v>-2.2600502419999997</v>
      </c>
    </row>
    <row r="735" spans="1:3" x14ac:dyDescent="0.3">
      <c r="A735" s="22">
        <v>-2.1299999999999999E-6</v>
      </c>
      <c r="B735" s="22">
        <v>-1.958542707E-3</v>
      </c>
      <c r="C735" s="22">
        <f t="shared" si="11"/>
        <v>-1.9585427069999999</v>
      </c>
    </row>
    <row r="736" spans="1:3" x14ac:dyDescent="0.3">
      <c r="A736" s="22">
        <v>-2.125E-6</v>
      </c>
      <c r="B736" s="22">
        <v>-1.8580401959999999E-3</v>
      </c>
      <c r="C736" s="22">
        <f t="shared" si="11"/>
        <v>-1.8580401959999999</v>
      </c>
    </row>
    <row r="737" spans="1:3" x14ac:dyDescent="0.3">
      <c r="A737" s="22">
        <v>-2.12E-6</v>
      </c>
      <c r="B737" s="22">
        <v>-1.4560301499999999E-3</v>
      </c>
      <c r="C737" s="22">
        <f t="shared" si="11"/>
        <v>-1.4560301499999999</v>
      </c>
    </row>
    <row r="738" spans="1:3" x14ac:dyDescent="0.3">
      <c r="A738" s="22">
        <v>-2.1150000000000001E-6</v>
      </c>
      <c r="B738" s="22">
        <v>-1.3555276380000001E-3</v>
      </c>
      <c r="C738" s="22">
        <f t="shared" si="11"/>
        <v>-1.3555276380000001</v>
      </c>
    </row>
    <row r="739" spans="1:3" x14ac:dyDescent="0.3">
      <c r="A739" s="22">
        <v>-2.1100000000000001E-6</v>
      </c>
      <c r="B739" s="22">
        <v>-2.5000001200000001E-4</v>
      </c>
      <c r="C739" s="22">
        <f t="shared" si="11"/>
        <v>-0.25000001199999999</v>
      </c>
    </row>
    <row r="740" spans="1:3" x14ac:dyDescent="0.3">
      <c r="A740" s="22">
        <v>-2.1050000000000002E-6</v>
      </c>
      <c r="B740" s="22">
        <v>-7.52512569E-4</v>
      </c>
      <c r="C740" s="22">
        <f t="shared" si="11"/>
        <v>-0.75251256899999996</v>
      </c>
    </row>
    <row r="741" spans="1:3" x14ac:dyDescent="0.3">
      <c r="A741" s="22">
        <v>-2.0999999999999998E-6</v>
      </c>
      <c r="B741" s="22">
        <v>-1.154522615E-3</v>
      </c>
      <c r="C741" s="22">
        <f t="shared" si="11"/>
        <v>-1.1545226150000001</v>
      </c>
    </row>
    <row r="742" spans="1:3" x14ac:dyDescent="0.3">
      <c r="A742" s="22">
        <v>-2.0949999999999998E-6</v>
      </c>
      <c r="B742" s="22">
        <v>-6.5201005800000005E-4</v>
      </c>
      <c r="C742" s="22">
        <f t="shared" si="11"/>
        <v>-0.652010058</v>
      </c>
    </row>
    <row r="743" spans="1:3" x14ac:dyDescent="0.3">
      <c r="A743" s="22">
        <v>-2.0899999999999999E-6</v>
      </c>
      <c r="B743" s="22">
        <v>-1.0540201039999999E-3</v>
      </c>
      <c r="C743" s="22">
        <f t="shared" si="11"/>
        <v>-1.0540201039999999</v>
      </c>
    </row>
    <row r="744" spans="1:3" x14ac:dyDescent="0.3">
      <c r="A744" s="22">
        <v>-2.0849999999999999E-6</v>
      </c>
      <c r="B744" s="22">
        <v>-3.5050252300000001E-4</v>
      </c>
      <c r="C744" s="22">
        <f t="shared" si="11"/>
        <v>-0.35050252300000001</v>
      </c>
    </row>
    <row r="745" spans="1:3" x14ac:dyDescent="0.3">
      <c r="A745" s="22">
        <v>-2.08E-6</v>
      </c>
      <c r="B745" s="22">
        <v>-3.5050252300000001E-4</v>
      </c>
      <c r="C745" s="22">
        <f t="shared" si="11"/>
        <v>-0.35050252300000001</v>
      </c>
    </row>
    <row r="746" spans="1:3" x14ac:dyDescent="0.3">
      <c r="A746" s="22">
        <v>-2.075E-6</v>
      </c>
      <c r="B746" s="22">
        <v>-1.8580401959999999E-3</v>
      </c>
      <c r="C746" s="22">
        <f t="shared" si="11"/>
        <v>-1.8580401959999999</v>
      </c>
    </row>
    <row r="747" spans="1:3" x14ac:dyDescent="0.3">
      <c r="A747" s="22">
        <v>-2.0700000000000001E-6</v>
      </c>
      <c r="B747" s="22">
        <v>-2.3605527530000002E-3</v>
      </c>
      <c r="C747" s="22">
        <f t="shared" si="11"/>
        <v>-2.3605527530000003</v>
      </c>
    </row>
    <row r="748" spans="1:3" x14ac:dyDescent="0.3">
      <c r="A748" s="22">
        <v>-2.0650000000000001E-6</v>
      </c>
      <c r="B748" s="22">
        <v>-1.958542707E-3</v>
      </c>
      <c r="C748" s="22">
        <f t="shared" si="11"/>
        <v>-1.9585427069999999</v>
      </c>
    </row>
    <row r="749" spans="1:3" x14ac:dyDescent="0.3">
      <c r="A749" s="22">
        <v>-2.0600000000000002E-6</v>
      </c>
      <c r="B749" s="22">
        <v>-2.2600502419999999E-3</v>
      </c>
      <c r="C749" s="22">
        <f t="shared" si="11"/>
        <v>-2.2600502419999997</v>
      </c>
    </row>
    <row r="750" spans="1:3" x14ac:dyDescent="0.3">
      <c r="A750" s="22">
        <v>-2.0549999999999998E-6</v>
      </c>
      <c r="B750" s="22">
        <v>-2.2600502419999999E-3</v>
      </c>
      <c r="C750" s="22">
        <f t="shared" si="11"/>
        <v>-2.2600502419999997</v>
      </c>
    </row>
    <row r="751" spans="1:3" x14ac:dyDescent="0.3">
      <c r="A751" s="22">
        <v>-2.0499999999999999E-6</v>
      </c>
      <c r="B751" s="22">
        <v>-1.958542707E-3</v>
      </c>
      <c r="C751" s="22">
        <f t="shared" si="11"/>
        <v>-1.9585427069999999</v>
      </c>
    </row>
    <row r="752" spans="1:3" x14ac:dyDescent="0.3">
      <c r="A752" s="22">
        <v>-2.0449999999999999E-6</v>
      </c>
      <c r="B752" s="22">
        <v>-1.0540201039999999E-3</v>
      </c>
      <c r="C752" s="22">
        <f t="shared" si="11"/>
        <v>-1.0540201039999999</v>
      </c>
    </row>
    <row r="753" spans="1:3" x14ac:dyDescent="0.3">
      <c r="A753" s="22">
        <v>-2.04E-6</v>
      </c>
      <c r="B753" s="22">
        <v>-1.4560301499999999E-3</v>
      </c>
      <c r="C753" s="22">
        <f t="shared" si="11"/>
        <v>-1.4560301499999999</v>
      </c>
    </row>
    <row r="754" spans="1:3" x14ac:dyDescent="0.3">
      <c r="A754" s="22">
        <v>-2.035E-6</v>
      </c>
      <c r="B754" s="22">
        <v>-1.154522615E-3</v>
      </c>
      <c r="C754" s="22">
        <f t="shared" si="11"/>
        <v>-1.1545226150000001</v>
      </c>
    </row>
    <row r="755" spans="1:3" x14ac:dyDescent="0.3">
      <c r="A755" s="22">
        <v>-2.03E-6</v>
      </c>
      <c r="B755" s="22">
        <v>-1.0540201039999999E-3</v>
      </c>
      <c r="C755" s="22">
        <f t="shared" si="11"/>
        <v>-1.0540201039999999</v>
      </c>
    </row>
    <row r="756" spans="1:3" x14ac:dyDescent="0.3">
      <c r="A756" s="22">
        <v>-2.0250000000000001E-6</v>
      </c>
      <c r="B756" s="22">
        <v>-3.5050252300000001E-4</v>
      </c>
      <c r="C756" s="22">
        <f t="shared" si="11"/>
        <v>-0.35050252300000001</v>
      </c>
    </row>
    <row r="757" spans="1:3" x14ac:dyDescent="0.3">
      <c r="A757" s="22">
        <v>-2.0200000000000001E-6</v>
      </c>
      <c r="B757" s="22">
        <v>-2.5000001200000001E-4</v>
      </c>
      <c r="C757" s="22">
        <f t="shared" si="11"/>
        <v>-0.25000001199999999</v>
      </c>
    </row>
    <row r="758" spans="1:3" x14ac:dyDescent="0.3">
      <c r="A758" s="22">
        <v>-2.0150000000000002E-6</v>
      </c>
      <c r="B758" s="22">
        <v>-2.5000001200000001E-4</v>
      </c>
      <c r="C758" s="22">
        <f t="shared" si="11"/>
        <v>-0.25000001199999999</v>
      </c>
    </row>
    <row r="759" spans="1:3" x14ac:dyDescent="0.3">
      <c r="A759" s="22">
        <v>-2.0099999999999998E-6</v>
      </c>
      <c r="B759" s="22">
        <v>-1.4949749999999999E-4</v>
      </c>
      <c r="C759" s="22">
        <f t="shared" si="11"/>
        <v>-0.14949749999999998</v>
      </c>
    </row>
    <row r="760" spans="1:3" x14ac:dyDescent="0.3">
      <c r="A760" s="22">
        <v>-2.0049999999999999E-6</v>
      </c>
      <c r="B760" s="22">
        <v>-1.4949749999999999E-4</v>
      </c>
      <c r="C760" s="22">
        <f t="shared" si="11"/>
        <v>-0.14949749999999998</v>
      </c>
    </row>
    <row r="761" spans="1:3" x14ac:dyDescent="0.3">
      <c r="A761" s="22">
        <v>-1.9999999999999999E-6</v>
      </c>
      <c r="B761" s="22">
        <v>-2.5000001200000001E-4</v>
      </c>
      <c r="C761" s="22">
        <f t="shared" si="11"/>
        <v>-0.25000001199999999</v>
      </c>
    </row>
    <row r="762" spans="1:3" x14ac:dyDescent="0.3">
      <c r="A762" s="22">
        <v>-1.995E-6</v>
      </c>
      <c r="B762" s="22">
        <v>8.5552761399999996E-4</v>
      </c>
      <c r="C762" s="22">
        <f t="shared" si="11"/>
        <v>0.85552761399999999</v>
      </c>
    </row>
    <row r="763" spans="1:3" x14ac:dyDescent="0.3">
      <c r="A763" s="22">
        <v>-1.99E-6</v>
      </c>
      <c r="B763" s="22">
        <v>1.2575376599999999E-3</v>
      </c>
      <c r="C763" s="22">
        <f t="shared" si="11"/>
        <v>1.2575376599999999</v>
      </c>
    </row>
    <row r="764" spans="1:3" x14ac:dyDescent="0.3">
      <c r="A764" s="22">
        <v>-1.9850000000000001E-6</v>
      </c>
      <c r="B764" s="22">
        <v>9.56030126E-4</v>
      </c>
      <c r="C764" s="22">
        <f t="shared" si="11"/>
        <v>0.95603012600000004</v>
      </c>
    </row>
    <row r="765" spans="1:3" x14ac:dyDescent="0.3">
      <c r="A765" s="22">
        <v>-1.9800000000000001E-6</v>
      </c>
      <c r="B765" s="22">
        <v>5.5402008000000002E-4</v>
      </c>
      <c r="C765" s="22">
        <f t="shared" si="11"/>
        <v>0.55402008000000003</v>
      </c>
    </row>
    <row r="766" spans="1:3" x14ac:dyDescent="0.3">
      <c r="A766" s="22">
        <v>-1.9750000000000001E-6</v>
      </c>
      <c r="B766" s="22">
        <v>5.5402008000000002E-4</v>
      </c>
      <c r="C766" s="22">
        <f t="shared" si="11"/>
        <v>0.55402008000000003</v>
      </c>
    </row>
    <row r="767" spans="1:3" x14ac:dyDescent="0.3">
      <c r="A767" s="22">
        <v>-1.9700000000000002E-6</v>
      </c>
      <c r="B767" s="22">
        <v>1.52010034E-4</v>
      </c>
      <c r="C767" s="22">
        <f t="shared" si="11"/>
        <v>0.15201003400000002</v>
      </c>
    </row>
    <row r="768" spans="1:3" x14ac:dyDescent="0.3">
      <c r="A768" s="22">
        <v>-1.9649999999999998E-6</v>
      </c>
      <c r="B768" s="22">
        <v>4.5351756900000002E-4</v>
      </c>
      <c r="C768" s="22">
        <f t="shared" si="11"/>
        <v>0.45351756900000001</v>
      </c>
    </row>
    <row r="769" spans="1:3" x14ac:dyDescent="0.3">
      <c r="A769" s="22">
        <v>-1.9599999999999999E-6</v>
      </c>
      <c r="B769" s="22">
        <v>1.358040172E-3</v>
      </c>
      <c r="C769" s="22">
        <f t="shared" si="11"/>
        <v>1.3580401719999999</v>
      </c>
    </row>
    <row r="770" spans="1:3" x14ac:dyDescent="0.3">
      <c r="A770" s="22">
        <v>-1.9549999999999999E-6</v>
      </c>
      <c r="B770" s="22">
        <v>1.52010034E-4</v>
      </c>
      <c r="C770" s="22">
        <f t="shared" si="11"/>
        <v>0.15201003400000002</v>
      </c>
    </row>
    <row r="771" spans="1:3" x14ac:dyDescent="0.3">
      <c r="A771" s="22">
        <v>-1.95E-6</v>
      </c>
      <c r="B771" s="22">
        <v>4.5351756900000002E-4</v>
      </c>
      <c r="C771" s="22">
        <f t="shared" si="11"/>
        <v>0.45351756900000001</v>
      </c>
    </row>
    <row r="772" spans="1:3" x14ac:dyDescent="0.3">
      <c r="A772" s="22">
        <v>-1.945E-6</v>
      </c>
      <c r="B772" s="22">
        <v>1.52010034E-4</v>
      </c>
      <c r="C772" s="22">
        <f t="shared" ref="C772:C835" si="12">B772*10^3</f>
        <v>0.15201003400000002</v>
      </c>
    </row>
    <row r="773" spans="1:3" x14ac:dyDescent="0.3">
      <c r="A773" s="22">
        <v>-1.9400000000000001E-6</v>
      </c>
      <c r="B773" s="22">
        <v>-6.5201005800000005E-4</v>
      </c>
      <c r="C773" s="22">
        <f t="shared" si="12"/>
        <v>-0.652010058</v>
      </c>
    </row>
    <row r="774" spans="1:3" x14ac:dyDescent="0.3">
      <c r="A774" s="22">
        <v>-1.9350000000000001E-6</v>
      </c>
      <c r="B774" s="22">
        <v>-7.52512569E-4</v>
      </c>
      <c r="C774" s="22">
        <f t="shared" si="12"/>
        <v>-0.75251256899999996</v>
      </c>
    </row>
    <row r="775" spans="1:3" x14ac:dyDescent="0.3">
      <c r="A775" s="22">
        <v>-1.9300000000000002E-6</v>
      </c>
      <c r="B775" s="22">
        <v>-6.5201005800000005E-4</v>
      </c>
      <c r="C775" s="22">
        <f t="shared" si="12"/>
        <v>-0.652010058</v>
      </c>
    </row>
    <row r="776" spans="1:3" x14ac:dyDescent="0.3">
      <c r="A776" s="22">
        <v>-1.9250000000000002E-6</v>
      </c>
      <c r="B776" s="22">
        <v>-1.0540201039999999E-3</v>
      </c>
      <c r="C776" s="22">
        <f t="shared" si="12"/>
        <v>-1.0540201039999999</v>
      </c>
    </row>
    <row r="777" spans="1:3" x14ac:dyDescent="0.3">
      <c r="A777" s="22">
        <v>-1.9199999999999998E-6</v>
      </c>
      <c r="B777" s="22">
        <v>-6.5201005800000005E-4</v>
      </c>
      <c r="C777" s="22">
        <f t="shared" si="12"/>
        <v>-0.652010058</v>
      </c>
    </row>
    <row r="778" spans="1:3" x14ac:dyDescent="0.3">
      <c r="A778" s="22">
        <v>-1.9149999999999999E-6</v>
      </c>
      <c r="B778" s="22">
        <v>-1.4560301499999999E-3</v>
      </c>
      <c r="C778" s="22">
        <f t="shared" si="12"/>
        <v>-1.4560301499999999</v>
      </c>
    </row>
    <row r="779" spans="1:3" x14ac:dyDescent="0.3">
      <c r="A779" s="22">
        <v>-1.9099999999999999E-6</v>
      </c>
      <c r="B779" s="22">
        <v>-1.958542707E-3</v>
      </c>
      <c r="C779" s="22">
        <f t="shared" si="12"/>
        <v>-1.9585427069999999</v>
      </c>
    </row>
    <row r="780" spans="1:3" x14ac:dyDescent="0.3">
      <c r="A780" s="22">
        <v>-1.905E-6</v>
      </c>
      <c r="B780" s="22">
        <v>-2.6620602880000001E-3</v>
      </c>
      <c r="C780" s="22">
        <f t="shared" si="12"/>
        <v>-2.6620602880000002</v>
      </c>
    </row>
    <row r="781" spans="1:3" x14ac:dyDescent="0.3">
      <c r="A781" s="22">
        <v>-1.9E-6</v>
      </c>
      <c r="B781" s="22">
        <v>-3.3655778679999998E-3</v>
      </c>
      <c r="C781" s="22">
        <f t="shared" si="12"/>
        <v>-3.3655778679999999</v>
      </c>
    </row>
    <row r="782" spans="1:3" x14ac:dyDescent="0.3">
      <c r="A782" s="22">
        <v>-1.8950000000000001E-6</v>
      </c>
      <c r="B782" s="22">
        <v>-2.6620602880000001E-3</v>
      </c>
      <c r="C782" s="22">
        <f t="shared" si="12"/>
        <v>-2.6620602880000002</v>
      </c>
    </row>
    <row r="783" spans="1:3" x14ac:dyDescent="0.3">
      <c r="A783" s="22">
        <v>-1.8899999999999999E-6</v>
      </c>
      <c r="B783" s="22">
        <v>-3.0640703329999999E-3</v>
      </c>
      <c r="C783" s="22">
        <f t="shared" si="12"/>
        <v>-3.0640703330000001</v>
      </c>
    </row>
    <row r="784" spans="1:3" x14ac:dyDescent="0.3">
      <c r="A784" s="22">
        <v>-1.885E-6</v>
      </c>
      <c r="B784" s="22">
        <v>-2.5615577759999998E-3</v>
      </c>
      <c r="C784" s="22">
        <f t="shared" si="12"/>
        <v>-2.5615577759999999</v>
      </c>
    </row>
    <row r="785" spans="1:3" x14ac:dyDescent="0.3">
      <c r="A785" s="22">
        <v>-1.88E-6</v>
      </c>
      <c r="B785" s="22">
        <v>-3.4660803790000001E-3</v>
      </c>
      <c r="C785" s="22">
        <f t="shared" si="12"/>
        <v>-3.4660803790000001</v>
      </c>
    </row>
    <row r="786" spans="1:3" x14ac:dyDescent="0.3">
      <c r="A786" s="22">
        <v>-1.875E-6</v>
      </c>
      <c r="B786" s="22">
        <v>-3.8680904249999998E-3</v>
      </c>
      <c r="C786" s="22">
        <f t="shared" si="12"/>
        <v>-3.8680904249999997</v>
      </c>
    </row>
    <row r="787" spans="1:3" x14ac:dyDescent="0.3">
      <c r="A787" s="22">
        <v>-1.8700000000000001E-6</v>
      </c>
      <c r="B787" s="22">
        <v>-3.4660803790000001E-3</v>
      </c>
      <c r="C787" s="22">
        <f t="shared" si="12"/>
        <v>-3.4660803790000001</v>
      </c>
    </row>
    <row r="788" spans="1:3" x14ac:dyDescent="0.3">
      <c r="A788" s="22">
        <v>-1.8649999999999999E-6</v>
      </c>
      <c r="B788" s="22">
        <v>-2.7625627989999999E-3</v>
      </c>
      <c r="C788" s="22">
        <f t="shared" si="12"/>
        <v>-2.7625627989999999</v>
      </c>
    </row>
    <row r="789" spans="1:3" x14ac:dyDescent="0.3">
      <c r="A789" s="22">
        <v>-1.86E-6</v>
      </c>
      <c r="B789" s="22">
        <v>-2.963567822E-3</v>
      </c>
      <c r="C789" s="22">
        <f t="shared" si="12"/>
        <v>-2.9635678219999999</v>
      </c>
    </row>
    <row r="790" spans="1:3" x14ac:dyDescent="0.3">
      <c r="A790" s="22">
        <v>-1.855E-6</v>
      </c>
      <c r="B790" s="22">
        <v>-3.0640703329999999E-3</v>
      </c>
      <c r="C790" s="22">
        <f t="shared" si="12"/>
        <v>-3.0640703330000001</v>
      </c>
    </row>
    <row r="791" spans="1:3" x14ac:dyDescent="0.3">
      <c r="A791" s="22">
        <v>-1.8500000000000001E-6</v>
      </c>
      <c r="B791" s="22">
        <v>-3.4660803790000001E-3</v>
      </c>
      <c r="C791" s="22">
        <f t="shared" si="12"/>
        <v>-3.4660803790000001</v>
      </c>
    </row>
    <row r="792" spans="1:3" x14ac:dyDescent="0.3">
      <c r="A792" s="22">
        <v>-1.8449999999999999E-6</v>
      </c>
      <c r="B792" s="22">
        <v>-3.3655778679999998E-3</v>
      </c>
      <c r="C792" s="22">
        <f t="shared" si="12"/>
        <v>-3.3655778679999999</v>
      </c>
    </row>
    <row r="793" spans="1:3" x14ac:dyDescent="0.3">
      <c r="A793" s="22">
        <v>-1.84E-6</v>
      </c>
      <c r="B793" s="22">
        <v>-3.9685929370000001E-3</v>
      </c>
      <c r="C793" s="22">
        <f t="shared" si="12"/>
        <v>-3.9685929369999999</v>
      </c>
    </row>
    <row r="794" spans="1:3" x14ac:dyDescent="0.3">
      <c r="A794" s="22">
        <v>-1.835E-6</v>
      </c>
      <c r="B794" s="22">
        <v>-3.8680904249999998E-3</v>
      </c>
      <c r="C794" s="22">
        <f t="shared" si="12"/>
        <v>-3.8680904249999997</v>
      </c>
    </row>
    <row r="795" spans="1:3" x14ac:dyDescent="0.3">
      <c r="A795" s="22">
        <v>-1.8300000000000001E-6</v>
      </c>
      <c r="B795" s="22">
        <v>-4.1695979600000002E-3</v>
      </c>
      <c r="C795" s="22">
        <f t="shared" si="12"/>
        <v>-4.1695979599999999</v>
      </c>
    </row>
    <row r="796" spans="1:3" x14ac:dyDescent="0.3">
      <c r="A796" s="22">
        <v>-1.8250000000000001E-6</v>
      </c>
      <c r="B796" s="22">
        <v>-3.0640703329999999E-3</v>
      </c>
      <c r="C796" s="22">
        <f t="shared" si="12"/>
        <v>-3.0640703330000001</v>
      </c>
    </row>
    <row r="797" spans="1:3" x14ac:dyDescent="0.3">
      <c r="A797" s="22">
        <v>-1.8199999999999999E-6</v>
      </c>
      <c r="B797" s="22">
        <v>-2.5615577759999998E-3</v>
      </c>
      <c r="C797" s="22">
        <f t="shared" si="12"/>
        <v>-2.5615577759999999</v>
      </c>
    </row>
    <row r="798" spans="1:3" x14ac:dyDescent="0.3">
      <c r="A798" s="22">
        <v>-1.815E-6</v>
      </c>
      <c r="B798" s="22">
        <v>-1.958542707E-3</v>
      </c>
      <c r="C798" s="22">
        <f t="shared" si="12"/>
        <v>-1.9585427069999999</v>
      </c>
    </row>
    <row r="799" spans="1:3" x14ac:dyDescent="0.3">
      <c r="A799" s="22">
        <v>-1.81E-6</v>
      </c>
      <c r="B799" s="22">
        <v>-1.958542707E-3</v>
      </c>
      <c r="C799" s="22">
        <f t="shared" si="12"/>
        <v>-1.9585427069999999</v>
      </c>
    </row>
    <row r="800" spans="1:3" x14ac:dyDescent="0.3">
      <c r="A800" s="22">
        <v>-1.8050000000000001E-6</v>
      </c>
      <c r="B800" s="22">
        <v>-1.556532661E-3</v>
      </c>
      <c r="C800" s="22">
        <f t="shared" si="12"/>
        <v>-1.5565326609999999</v>
      </c>
    </row>
    <row r="801" spans="1:3" x14ac:dyDescent="0.3">
      <c r="A801" s="22">
        <v>-1.7999999999999999E-6</v>
      </c>
      <c r="B801" s="22">
        <v>-1.3555276380000001E-3</v>
      </c>
      <c r="C801" s="22">
        <f t="shared" si="12"/>
        <v>-1.3555276380000001</v>
      </c>
    </row>
    <row r="802" spans="1:3" x14ac:dyDescent="0.3">
      <c r="A802" s="22">
        <v>-1.795E-6</v>
      </c>
      <c r="B802" s="22">
        <v>-6.5201005800000005E-4</v>
      </c>
      <c r="C802" s="22">
        <f t="shared" si="12"/>
        <v>-0.652010058</v>
      </c>
    </row>
    <row r="803" spans="1:3" x14ac:dyDescent="0.3">
      <c r="A803" s="22">
        <v>-1.79E-6</v>
      </c>
      <c r="B803" s="22">
        <v>-3.5050252300000001E-4</v>
      </c>
      <c r="C803" s="22">
        <f t="shared" si="12"/>
        <v>-0.35050252300000001</v>
      </c>
    </row>
    <row r="804" spans="1:3" x14ac:dyDescent="0.3">
      <c r="A804" s="22">
        <v>-1.7850000000000001E-6</v>
      </c>
      <c r="B804" s="22">
        <v>-3.5050252300000001E-4</v>
      </c>
      <c r="C804" s="22">
        <f t="shared" si="12"/>
        <v>-0.35050252300000001</v>
      </c>
    </row>
    <row r="805" spans="1:3" x14ac:dyDescent="0.3">
      <c r="A805" s="22">
        <v>-1.7799999999999999E-6</v>
      </c>
      <c r="B805" s="22">
        <v>4.5351756800000002E-4</v>
      </c>
      <c r="C805" s="22">
        <f t="shared" si="12"/>
        <v>0.45351756800000004</v>
      </c>
    </row>
    <row r="806" spans="1:3" x14ac:dyDescent="0.3">
      <c r="A806" s="22">
        <v>-1.7749999999999999E-6</v>
      </c>
      <c r="B806" s="22">
        <v>5.5402008000000002E-4</v>
      </c>
      <c r="C806" s="22">
        <f t="shared" si="12"/>
        <v>0.55402008000000003</v>
      </c>
    </row>
    <row r="807" spans="1:3" x14ac:dyDescent="0.3">
      <c r="A807" s="22">
        <v>-1.77E-6</v>
      </c>
      <c r="B807" s="22">
        <v>5.5402008000000002E-4</v>
      </c>
      <c r="C807" s="22">
        <f t="shared" si="12"/>
        <v>0.55402008000000003</v>
      </c>
    </row>
    <row r="808" spans="1:3" x14ac:dyDescent="0.3">
      <c r="A808" s="22">
        <v>-1.765E-6</v>
      </c>
      <c r="B808" s="22">
        <v>2.5251254600000002E-4</v>
      </c>
      <c r="C808" s="22">
        <f t="shared" si="12"/>
        <v>0.252512546</v>
      </c>
    </row>
    <row r="809" spans="1:3" x14ac:dyDescent="0.3">
      <c r="A809" s="22">
        <v>-1.7600000000000001E-6</v>
      </c>
      <c r="B809" s="22">
        <v>5.1507522999999997E-5</v>
      </c>
      <c r="C809" s="22">
        <f t="shared" si="12"/>
        <v>5.1507523E-2</v>
      </c>
    </row>
    <row r="810" spans="1:3" x14ac:dyDescent="0.3">
      <c r="A810" s="22">
        <v>-1.7549999999999999E-6</v>
      </c>
      <c r="B810" s="22">
        <v>-6.5201005800000005E-4</v>
      </c>
      <c r="C810" s="22">
        <f t="shared" si="12"/>
        <v>-0.652010058</v>
      </c>
    </row>
    <row r="811" spans="1:3" x14ac:dyDescent="0.3">
      <c r="A811" s="22">
        <v>-1.75E-6</v>
      </c>
      <c r="B811" s="22">
        <v>-1.556532661E-3</v>
      </c>
      <c r="C811" s="22">
        <f t="shared" si="12"/>
        <v>-1.5565326609999999</v>
      </c>
    </row>
    <row r="812" spans="1:3" x14ac:dyDescent="0.3">
      <c r="A812" s="22">
        <v>-1.745E-6</v>
      </c>
      <c r="B812" s="22">
        <v>-1.8580401959999999E-3</v>
      </c>
      <c r="C812" s="22">
        <f t="shared" si="12"/>
        <v>-1.8580401959999999</v>
      </c>
    </row>
    <row r="813" spans="1:3" x14ac:dyDescent="0.3">
      <c r="A813" s="22">
        <v>-1.7400000000000001E-6</v>
      </c>
      <c r="B813" s="22">
        <v>-8.5301508100000005E-4</v>
      </c>
      <c r="C813" s="22">
        <f t="shared" si="12"/>
        <v>-0.85301508100000001</v>
      </c>
    </row>
    <row r="814" spans="1:3" x14ac:dyDescent="0.3">
      <c r="A814" s="22">
        <v>-1.7349999999999999E-6</v>
      </c>
      <c r="B814" s="22">
        <v>-1.4560301499999999E-3</v>
      </c>
      <c r="C814" s="22">
        <f t="shared" si="12"/>
        <v>-1.4560301499999999</v>
      </c>
    </row>
    <row r="815" spans="1:3" x14ac:dyDescent="0.3">
      <c r="A815" s="22">
        <v>-1.73E-6</v>
      </c>
      <c r="B815" s="22">
        <v>-2.2600502419999999E-3</v>
      </c>
      <c r="C815" s="22">
        <f t="shared" si="12"/>
        <v>-2.2600502419999997</v>
      </c>
    </row>
    <row r="816" spans="1:3" x14ac:dyDescent="0.3">
      <c r="A816" s="22">
        <v>-1.725E-6</v>
      </c>
      <c r="B816" s="22">
        <v>-1.8580401959999999E-3</v>
      </c>
      <c r="C816" s="22">
        <f t="shared" si="12"/>
        <v>-1.8580401959999999</v>
      </c>
    </row>
    <row r="817" spans="1:3" x14ac:dyDescent="0.3">
      <c r="A817" s="22">
        <v>-1.72E-6</v>
      </c>
      <c r="B817" s="22">
        <v>-1.4560301499999999E-3</v>
      </c>
      <c r="C817" s="22">
        <f t="shared" si="12"/>
        <v>-1.4560301499999999</v>
      </c>
    </row>
    <row r="818" spans="1:3" x14ac:dyDescent="0.3">
      <c r="A818" s="22">
        <v>-1.7150000000000001E-6</v>
      </c>
      <c r="B818" s="22">
        <v>-1.958542707E-3</v>
      </c>
      <c r="C818" s="22">
        <f t="shared" si="12"/>
        <v>-1.9585427069999999</v>
      </c>
    </row>
    <row r="819" spans="1:3" x14ac:dyDescent="0.3">
      <c r="A819" s="22">
        <v>-1.7099999999999999E-6</v>
      </c>
      <c r="B819" s="22">
        <v>-9.5351759199999999E-4</v>
      </c>
      <c r="C819" s="22">
        <f t="shared" si="12"/>
        <v>-0.95351759199999997</v>
      </c>
    </row>
    <row r="820" spans="1:3" x14ac:dyDescent="0.3">
      <c r="A820" s="22">
        <v>-1.705E-6</v>
      </c>
      <c r="B820" s="22">
        <v>-2.2600502419999999E-3</v>
      </c>
      <c r="C820" s="22">
        <f t="shared" si="12"/>
        <v>-2.2600502419999997</v>
      </c>
    </row>
    <row r="821" spans="1:3" x14ac:dyDescent="0.3">
      <c r="A821" s="22">
        <v>-1.7E-6</v>
      </c>
      <c r="B821" s="22">
        <v>-2.2600502419999999E-3</v>
      </c>
      <c r="C821" s="22">
        <f t="shared" si="12"/>
        <v>-2.2600502419999997</v>
      </c>
    </row>
    <row r="822" spans="1:3" x14ac:dyDescent="0.3">
      <c r="A822" s="22">
        <v>-1.6950000000000001E-6</v>
      </c>
      <c r="B822" s="22">
        <v>-3.0640703329999999E-3</v>
      </c>
      <c r="C822" s="22">
        <f t="shared" si="12"/>
        <v>-3.0640703330000001</v>
      </c>
    </row>
    <row r="823" spans="1:3" x14ac:dyDescent="0.3">
      <c r="A823" s="22">
        <v>-1.6899999999999999E-6</v>
      </c>
      <c r="B823" s="22">
        <v>-3.3655778679999998E-3</v>
      </c>
      <c r="C823" s="22">
        <f t="shared" si="12"/>
        <v>-3.3655778679999999</v>
      </c>
    </row>
    <row r="824" spans="1:3" x14ac:dyDescent="0.3">
      <c r="A824" s="22">
        <v>-1.685E-6</v>
      </c>
      <c r="B824" s="22">
        <v>-3.1645728450000001E-3</v>
      </c>
      <c r="C824" s="22">
        <f t="shared" si="12"/>
        <v>-3.1645728450000004</v>
      </c>
    </row>
    <row r="825" spans="1:3" x14ac:dyDescent="0.3">
      <c r="A825" s="22">
        <v>-1.68E-6</v>
      </c>
      <c r="B825" s="22">
        <v>-4.1695979600000002E-3</v>
      </c>
      <c r="C825" s="22">
        <f t="shared" si="12"/>
        <v>-4.1695979599999999</v>
      </c>
    </row>
    <row r="826" spans="1:3" x14ac:dyDescent="0.3">
      <c r="A826" s="22">
        <v>-1.6750000000000001E-6</v>
      </c>
      <c r="B826" s="22">
        <v>-3.4660803790000001E-3</v>
      </c>
      <c r="C826" s="22">
        <f t="shared" si="12"/>
        <v>-3.4660803790000001</v>
      </c>
    </row>
    <row r="827" spans="1:3" x14ac:dyDescent="0.3">
      <c r="A827" s="22">
        <v>-1.6700000000000001E-6</v>
      </c>
      <c r="B827" s="22">
        <v>-3.8680904249999998E-3</v>
      </c>
      <c r="C827" s="22">
        <f t="shared" si="12"/>
        <v>-3.8680904249999997</v>
      </c>
    </row>
    <row r="828" spans="1:3" x14ac:dyDescent="0.3">
      <c r="A828" s="22">
        <v>-1.6649999999999999E-6</v>
      </c>
      <c r="B828" s="22">
        <v>-3.5665828909999999E-3</v>
      </c>
      <c r="C828" s="22">
        <f t="shared" si="12"/>
        <v>-3.5665828909999999</v>
      </c>
    </row>
    <row r="829" spans="1:3" x14ac:dyDescent="0.3">
      <c r="A829" s="22">
        <v>-1.66E-6</v>
      </c>
      <c r="B829" s="22">
        <v>-3.0640703329999999E-3</v>
      </c>
      <c r="C829" s="22">
        <f t="shared" si="12"/>
        <v>-3.0640703330000001</v>
      </c>
    </row>
    <row r="830" spans="1:3" x14ac:dyDescent="0.3">
      <c r="A830" s="22">
        <v>-1.655E-6</v>
      </c>
      <c r="B830" s="22">
        <v>-2.5615577759999998E-3</v>
      </c>
      <c r="C830" s="22">
        <f t="shared" si="12"/>
        <v>-2.5615577759999999</v>
      </c>
    </row>
    <row r="831" spans="1:3" x14ac:dyDescent="0.3">
      <c r="A831" s="22">
        <v>-1.6500000000000001E-6</v>
      </c>
      <c r="B831" s="22">
        <v>-1.0540201039999999E-3</v>
      </c>
      <c r="C831" s="22">
        <f t="shared" si="12"/>
        <v>-1.0540201039999999</v>
      </c>
    </row>
    <row r="832" spans="1:3" x14ac:dyDescent="0.3">
      <c r="A832" s="22">
        <v>-1.6449999999999999E-6</v>
      </c>
      <c r="B832" s="22">
        <v>-1.556532661E-3</v>
      </c>
      <c r="C832" s="22">
        <f t="shared" si="12"/>
        <v>-1.5565326609999999</v>
      </c>
    </row>
    <row r="833" spans="1:3" x14ac:dyDescent="0.3">
      <c r="A833" s="22">
        <v>-1.64E-6</v>
      </c>
      <c r="B833" s="22">
        <v>-3.5050252300000001E-4</v>
      </c>
      <c r="C833" s="22">
        <f t="shared" si="12"/>
        <v>-0.35050252300000001</v>
      </c>
    </row>
    <row r="834" spans="1:3" x14ac:dyDescent="0.3">
      <c r="A834" s="22">
        <v>-1.635E-6</v>
      </c>
      <c r="B834" s="22">
        <v>-1.3555276380000001E-3</v>
      </c>
      <c r="C834" s="22">
        <f t="shared" si="12"/>
        <v>-1.3555276380000001</v>
      </c>
    </row>
    <row r="835" spans="1:3" x14ac:dyDescent="0.3">
      <c r="A835" s="22">
        <v>-1.6300000000000001E-6</v>
      </c>
      <c r="B835" s="22">
        <v>1.52010034E-4</v>
      </c>
      <c r="C835" s="22">
        <f t="shared" si="12"/>
        <v>0.15201003400000002</v>
      </c>
    </row>
    <row r="836" spans="1:3" x14ac:dyDescent="0.3">
      <c r="A836" s="22">
        <v>-1.6249999999999999E-6</v>
      </c>
      <c r="B836" s="22">
        <v>-4.8994988999999998E-5</v>
      </c>
      <c r="C836" s="22">
        <f t="shared" ref="C836:C899" si="13">B836*10^3</f>
        <v>-4.8994988999999996E-2</v>
      </c>
    </row>
    <row r="837" spans="1:3" x14ac:dyDescent="0.3">
      <c r="A837" s="22">
        <v>-1.6199999999999999E-6</v>
      </c>
      <c r="B837" s="22">
        <v>5.5402008000000002E-4</v>
      </c>
      <c r="C837" s="22">
        <f t="shared" si="13"/>
        <v>0.55402008000000003</v>
      </c>
    </row>
    <row r="838" spans="1:3" x14ac:dyDescent="0.3">
      <c r="A838" s="22">
        <v>-1.615E-6</v>
      </c>
      <c r="B838" s="22">
        <v>8.5552761399999996E-4</v>
      </c>
      <c r="C838" s="22">
        <f t="shared" si="13"/>
        <v>0.85552761399999999</v>
      </c>
    </row>
    <row r="839" spans="1:3" x14ac:dyDescent="0.3">
      <c r="A839" s="22">
        <v>-1.61E-6</v>
      </c>
      <c r="B839" s="22">
        <v>2.0615577519999999E-3</v>
      </c>
      <c r="C839" s="22">
        <f t="shared" si="13"/>
        <v>2.0615577520000001</v>
      </c>
    </row>
    <row r="840" spans="1:3" x14ac:dyDescent="0.3">
      <c r="A840" s="22">
        <v>-1.6050000000000001E-6</v>
      </c>
      <c r="B840" s="22">
        <v>1.0565326370000001E-3</v>
      </c>
      <c r="C840" s="22">
        <f t="shared" si="13"/>
        <v>1.0565326370000001</v>
      </c>
    </row>
    <row r="841" spans="1:3" x14ac:dyDescent="0.3">
      <c r="A841" s="22">
        <v>-1.5999999999999999E-6</v>
      </c>
      <c r="B841" s="22">
        <v>9.56030126E-4</v>
      </c>
      <c r="C841" s="22">
        <f t="shared" si="13"/>
        <v>0.95603012600000004</v>
      </c>
    </row>
    <row r="842" spans="1:3" x14ac:dyDescent="0.3">
      <c r="A842" s="22">
        <v>-1.595E-6</v>
      </c>
      <c r="B842" s="22">
        <v>1.358040172E-3</v>
      </c>
      <c r="C842" s="22">
        <f t="shared" si="13"/>
        <v>1.3580401719999999</v>
      </c>
    </row>
    <row r="843" spans="1:3" x14ac:dyDescent="0.3">
      <c r="A843" s="22">
        <v>-1.59E-6</v>
      </c>
      <c r="B843" s="22">
        <v>2.4635677980000001E-3</v>
      </c>
      <c r="C843" s="22">
        <f t="shared" si="13"/>
        <v>2.4635677980000001</v>
      </c>
    </row>
    <row r="844" spans="1:3" x14ac:dyDescent="0.3">
      <c r="A844" s="22">
        <v>-1.5850000000000001E-6</v>
      </c>
      <c r="B844" s="22">
        <v>2.1620602640000002E-3</v>
      </c>
      <c r="C844" s="22">
        <f t="shared" si="13"/>
        <v>2.1620602640000004</v>
      </c>
    </row>
    <row r="845" spans="1:3" x14ac:dyDescent="0.3">
      <c r="A845" s="22">
        <v>-1.5799999999999999E-6</v>
      </c>
      <c r="B845" s="22">
        <v>1.2575376599999999E-3</v>
      </c>
      <c r="C845" s="22">
        <f t="shared" si="13"/>
        <v>1.2575376599999999</v>
      </c>
    </row>
    <row r="846" spans="1:3" x14ac:dyDescent="0.3">
      <c r="A846" s="22">
        <v>-1.575E-6</v>
      </c>
      <c r="B846" s="22">
        <v>1.52010034E-4</v>
      </c>
      <c r="C846" s="22">
        <f t="shared" si="13"/>
        <v>0.15201003400000002</v>
      </c>
    </row>
    <row r="847" spans="1:3" x14ac:dyDescent="0.3">
      <c r="A847" s="22">
        <v>-1.57E-6</v>
      </c>
      <c r="B847" s="22">
        <v>-1.4949749999999999E-4</v>
      </c>
      <c r="C847" s="22">
        <f t="shared" si="13"/>
        <v>-0.14949749999999998</v>
      </c>
    </row>
    <row r="848" spans="1:3" x14ac:dyDescent="0.3">
      <c r="A848" s="22">
        <v>-1.5650000000000001E-6</v>
      </c>
      <c r="B848" s="22">
        <v>1.52010034E-4</v>
      </c>
      <c r="C848" s="22">
        <f t="shared" si="13"/>
        <v>0.15201003400000002</v>
      </c>
    </row>
    <row r="849" spans="1:3" x14ac:dyDescent="0.3">
      <c r="A849" s="22">
        <v>-1.5600000000000001E-6</v>
      </c>
      <c r="B849" s="22">
        <v>-1.4949749999999999E-4</v>
      </c>
      <c r="C849" s="22">
        <f t="shared" si="13"/>
        <v>-0.14949749999999998</v>
      </c>
    </row>
    <row r="850" spans="1:3" x14ac:dyDescent="0.3">
      <c r="A850" s="22">
        <v>-1.5549999999999999E-6</v>
      </c>
      <c r="B850" s="22">
        <v>-2.5000001200000001E-4</v>
      </c>
      <c r="C850" s="22">
        <f t="shared" si="13"/>
        <v>-0.25000001199999999</v>
      </c>
    </row>
    <row r="851" spans="1:3" x14ac:dyDescent="0.3">
      <c r="A851" s="22">
        <v>-1.55E-6</v>
      </c>
      <c r="B851" s="22">
        <v>-1.0540201039999999E-3</v>
      </c>
      <c r="C851" s="22">
        <f t="shared" si="13"/>
        <v>-1.0540201039999999</v>
      </c>
    </row>
    <row r="852" spans="1:3" x14ac:dyDescent="0.3">
      <c r="A852" s="22">
        <v>-1.545E-6</v>
      </c>
      <c r="B852" s="22">
        <v>-1.556532661E-3</v>
      </c>
      <c r="C852" s="22">
        <f t="shared" si="13"/>
        <v>-1.5565326609999999</v>
      </c>
    </row>
    <row r="853" spans="1:3" x14ac:dyDescent="0.3">
      <c r="A853" s="22">
        <v>-1.5400000000000001E-6</v>
      </c>
      <c r="B853" s="22">
        <v>-1.958542707E-3</v>
      </c>
      <c r="C853" s="22">
        <f t="shared" si="13"/>
        <v>-1.9585427069999999</v>
      </c>
    </row>
    <row r="854" spans="1:3" x14ac:dyDescent="0.3">
      <c r="A854" s="22">
        <v>-1.5349999999999999E-6</v>
      </c>
      <c r="B854" s="22">
        <v>-1.8580401959999999E-3</v>
      </c>
      <c r="C854" s="22">
        <f t="shared" si="13"/>
        <v>-1.8580401959999999</v>
      </c>
    </row>
    <row r="855" spans="1:3" x14ac:dyDescent="0.3">
      <c r="A855" s="22">
        <v>-1.53E-6</v>
      </c>
      <c r="B855" s="22">
        <v>-2.3605527530000002E-3</v>
      </c>
      <c r="C855" s="22">
        <f t="shared" si="13"/>
        <v>-2.3605527530000003</v>
      </c>
    </row>
    <row r="856" spans="1:3" x14ac:dyDescent="0.3">
      <c r="A856" s="22">
        <v>-1.525E-6</v>
      </c>
      <c r="B856" s="22">
        <v>-1.958542707E-3</v>
      </c>
      <c r="C856" s="22">
        <f t="shared" si="13"/>
        <v>-1.9585427069999999</v>
      </c>
    </row>
    <row r="857" spans="1:3" x14ac:dyDescent="0.3">
      <c r="A857" s="22">
        <v>-1.5200000000000001E-6</v>
      </c>
      <c r="B857" s="22">
        <v>-1.7575376840000001E-3</v>
      </c>
      <c r="C857" s="22">
        <f t="shared" si="13"/>
        <v>-1.7575376840000001</v>
      </c>
    </row>
    <row r="858" spans="1:3" x14ac:dyDescent="0.3">
      <c r="A858" s="22">
        <v>-1.5149999999999999E-6</v>
      </c>
      <c r="B858" s="22">
        <v>-1.0540201039999999E-3</v>
      </c>
      <c r="C858" s="22">
        <f t="shared" si="13"/>
        <v>-1.0540201039999999</v>
      </c>
    </row>
    <row r="859" spans="1:3" x14ac:dyDescent="0.3">
      <c r="A859" s="22">
        <v>-1.5099999999999999E-6</v>
      </c>
      <c r="B859" s="22">
        <v>-2.2600502419999999E-3</v>
      </c>
      <c r="C859" s="22">
        <f t="shared" si="13"/>
        <v>-2.2600502419999997</v>
      </c>
    </row>
    <row r="860" spans="1:3" x14ac:dyDescent="0.3">
      <c r="A860" s="22">
        <v>-1.505E-6</v>
      </c>
      <c r="B860" s="22">
        <v>-3.0640703329999999E-3</v>
      </c>
      <c r="C860" s="22">
        <f t="shared" si="13"/>
        <v>-3.0640703330000001</v>
      </c>
    </row>
    <row r="861" spans="1:3" x14ac:dyDescent="0.3">
      <c r="A861" s="22">
        <v>-1.5E-6</v>
      </c>
      <c r="B861" s="22">
        <v>-4.2701004710000001E-3</v>
      </c>
      <c r="C861" s="22">
        <f t="shared" si="13"/>
        <v>-4.2701004710000001</v>
      </c>
    </row>
    <row r="862" spans="1:3" x14ac:dyDescent="0.3">
      <c r="A862" s="22">
        <v>-1.4950000000000001E-6</v>
      </c>
      <c r="B862" s="22">
        <v>-4.7726130289999997E-3</v>
      </c>
      <c r="C862" s="22">
        <f t="shared" si="13"/>
        <v>-4.7726130289999995</v>
      </c>
    </row>
    <row r="863" spans="1:3" x14ac:dyDescent="0.3">
      <c r="A863" s="22">
        <v>-1.4899999999999999E-6</v>
      </c>
      <c r="B863" s="22">
        <v>-5.0741205629999996E-3</v>
      </c>
      <c r="C863" s="22">
        <f t="shared" si="13"/>
        <v>-5.0741205629999993</v>
      </c>
    </row>
    <row r="864" spans="1:3" x14ac:dyDescent="0.3">
      <c r="A864" s="22">
        <v>-1.485E-6</v>
      </c>
      <c r="B864" s="22">
        <v>-4.1695979600000002E-3</v>
      </c>
      <c r="C864" s="22">
        <f t="shared" si="13"/>
        <v>-4.1695979599999999</v>
      </c>
    </row>
    <row r="865" spans="1:3" x14ac:dyDescent="0.3">
      <c r="A865" s="22">
        <v>-1.48E-6</v>
      </c>
      <c r="B865" s="22">
        <v>-3.4660803790000001E-3</v>
      </c>
      <c r="C865" s="22">
        <f t="shared" si="13"/>
        <v>-3.4660803790000001</v>
      </c>
    </row>
    <row r="866" spans="1:3" x14ac:dyDescent="0.3">
      <c r="A866" s="22">
        <v>-1.4750000000000001E-6</v>
      </c>
      <c r="B866" s="22">
        <v>-4.6721105170000003E-3</v>
      </c>
      <c r="C866" s="22">
        <f t="shared" si="13"/>
        <v>-4.6721105170000001</v>
      </c>
    </row>
    <row r="867" spans="1:3" x14ac:dyDescent="0.3">
      <c r="A867" s="22">
        <v>-1.4699999999999999E-6</v>
      </c>
      <c r="B867" s="22">
        <v>-3.0640703329999999E-3</v>
      </c>
      <c r="C867" s="22">
        <f t="shared" si="13"/>
        <v>-3.0640703330000001</v>
      </c>
    </row>
    <row r="868" spans="1:3" x14ac:dyDescent="0.3">
      <c r="A868" s="22">
        <v>-1.4649999999999999E-6</v>
      </c>
      <c r="B868" s="22">
        <v>-3.1645728450000001E-3</v>
      </c>
      <c r="C868" s="22">
        <f t="shared" si="13"/>
        <v>-3.1645728450000004</v>
      </c>
    </row>
    <row r="869" spans="1:3" x14ac:dyDescent="0.3">
      <c r="A869" s="22">
        <v>-1.46E-6</v>
      </c>
      <c r="B869" s="22">
        <v>-3.0640703329999999E-3</v>
      </c>
      <c r="C869" s="22">
        <f t="shared" si="13"/>
        <v>-3.0640703330000001</v>
      </c>
    </row>
    <row r="870" spans="1:3" x14ac:dyDescent="0.3">
      <c r="A870" s="22">
        <v>-1.455E-6</v>
      </c>
      <c r="B870" s="22">
        <v>-1.4560301499999999E-3</v>
      </c>
      <c r="C870" s="22">
        <f t="shared" si="13"/>
        <v>-1.4560301499999999</v>
      </c>
    </row>
    <row r="871" spans="1:3" x14ac:dyDescent="0.3">
      <c r="A871" s="22">
        <v>-1.4500000000000001E-6</v>
      </c>
      <c r="B871" s="22">
        <v>-1.3555276380000001E-3</v>
      </c>
      <c r="C871" s="22">
        <f t="shared" si="13"/>
        <v>-1.3555276380000001</v>
      </c>
    </row>
    <row r="872" spans="1:3" x14ac:dyDescent="0.3">
      <c r="A872" s="22">
        <v>-1.4449999999999999E-6</v>
      </c>
      <c r="B872" s="22">
        <v>-1.0540201039999999E-3</v>
      </c>
      <c r="C872" s="22">
        <f t="shared" si="13"/>
        <v>-1.0540201039999999</v>
      </c>
    </row>
    <row r="873" spans="1:3" x14ac:dyDescent="0.3">
      <c r="A873" s="22">
        <v>-1.44E-6</v>
      </c>
      <c r="B873" s="22">
        <v>-1.3555276380000001E-3</v>
      </c>
      <c r="C873" s="22">
        <f t="shared" si="13"/>
        <v>-1.3555276380000001</v>
      </c>
    </row>
    <row r="874" spans="1:3" x14ac:dyDescent="0.3">
      <c r="A874" s="22">
        <v>-1.435E-6</v>
      </c>
      <c r="B874" s="22">
        <v>-1.154522615E-3</v>
      </c>
      <c r="C874" s="22">
        <f t="shared" si="13"/>
        <v>-1.1545226150000001</v>
      </c>
    </row>
    <row r="875" spans="1:3" x14ac:dyDescent="0.3">
      <c r="A875" s="22">
        <v>-1.4300000000000001E-6</v>
      </c>
      <c r="B875" s="22">
        <v>-1.4560301499999999E-3</v>
      </c>
      <c r="C875" s="22">
        <f t="shared" si="13"/>
        <v>-1.4560301499999999</v>
      </c>
    </row>
    <row r="876" spans="1:3" x14ac:dyDescent="0.3">
      <c r="A876" s="22">
        <v>-1.4249999999999999E-6</v>
      </c>
      <c r="B876" s="22">
        <v>-3.5050252300000001E-4</v>
      </c>
      <c r="C876" s="22">
        <f t="shared" si="13"/>
        <v>-0.35050252300000001</v>
      </c>
    </row>
    <row r="877" spans="1:3" x14ac:dyDescent="0.3">
      <c r="A877" s="22">
        <v>-1.42E-6</v>
      </c>
      <c r="B877" s="22">
        <v>-2.5000001200000001E-4</v>
      </c>
      <c r="C877" s="22">
        <f t="shared" si="13"/>
        <v>-0.25000001199999999</v>
      </c>
    </row>
    <row r="878" spans="1:3" x14ac:dyDescent="0.3">
      <c r="A878" s="22">
        <v>-1.415E-6</v>
      </c>
      <c r="B878" s="22">
        <v>-2.5000001200000001E-4</v>
      </c>
      <c r="C878" s="22">
        <f t="shared" si="13"/>
        <v>-0.25000001199999999</v>
      </c>
    </row>
    <row r="879" spans="1:3" x14ac:dyDescent="0.3">
      <c r="A879" s="22">
        <v>-1.4100000000000001E-6</v>
      </c>
      <c r="B879" s="22">
        <v>5.1507522999999997E-5</v>
      </c>
      <c r="C879" s="22">
        <f t="shared" si="13"/>
        <v>5.1507523E-2</v>
      </c>
    </row>
    <row r="880" spans="1:3" x14ac:dyDescent="0.3">
      <c r="A880" s="22">
        <v>-1.4050000000000001E-6</v>
      </c>
      <c r="B880" s="22">
        <v>6.5452259199999996E-4</v>
      </c>
      <c r="C880" s="22">
        <f t="shared" si="13"/>
        <v>0.65452259199999996</v>
      </c>
    </row>
    <row r="881" spans="1:3" x14ac:dyDescent="0.3">
      <c r="A881" s="22">
        <v>-1.3999999999999999E-6</v>
      </c>
      <c r="B881" s="22">
        <v>-1.4949749999999999E-4</v>
      </c>
      <c r="C881" s="22">
        <f t="shared" si="13"/>
        <v>-0.14949749999999998</v>
      </c>
    </row>
    <row r="882" spans="1:3" x14ac:dyDescent="0.3">
      <c r="A882" s="22">
        <v>-1.395E-6</v>
      </c>
      <c r="B882" s="22">
        <v>1.52010034E-4</v>
      </c>
      <c r="C882" s="22">
        <f t="shared" si="13"/>
        <v>0.15201003400000002</v>
      </c>
    </row>
    <row r="883" spans="1:3" x14ac:dyDescent="0.3">
      <c r="A883" s="22">
        <v>-1.39E-6</v>
      </c>
      <c r="B883" s="22">
        <v>-4.8994988999999998E-5</v>
      </c>
      <c r="C883" s="22">
        <f t="shared" si="13"/>
        <v>-4.8994988999999996E-2</v>
      </c>
    </row>
    <row r="884" spans="1:3" x14ac:dyDescent="0.3">
      <c r="A884" s="22">
        <v>-1.3850000000000001E-6</v>
      </c>
      <c r="B884" s="22">
        <v>4.5351756800000002E-4</v>
      </c>
      <c r="C884" s="22">
        <f t="shared" si="13"/>
        <v>0.45351756800000004</v>
      </c>
    </row>
    <row r="885" spans="1:3" x14ac:dyDescent="0.3">
      <c r="A885" s="22">
        <v>-1.3799999999999999E-6</v>
      </c>
      <c r="B885" s="22">
        <v>1.52010034E-4</v>
      </c>
      <c r="C885" s="22">
        <f t="shared" si="13"/>
        <v>0.15201003400000002</v>
      </c>
    </row>
    <row r="886" spans="1:3" x14ac:dyDescent="0.3">
      <c r="A886" s="22">
        <v>-1.375E-6</v>
      </c>
      <c r="B886" s="22">
        <v>6.5452259199999996E-4</v>
      </c>
      <c r="C886" s="22">
        <f t="shared" si="13"/>
        <v>0.65452259199999996</v>
      </c>
    </row>
    <row r="887" spans="1:3" x14ac:dyDescent="0.3">
      <c r="A887" s="22">
        <v>-1.37E-6</v>
      </c>
      <c r="B887" s="22">
        <v>4.5351756800000002E-4</v>
      </c>
      <c r="C887" s="22">
        <f t="shared" si="13"/>
        <v>0.45351756800000004</v>
      </c>
    </row>
    <row r="888" spans="1:3" x14ac:dyDescent="0.3">
      <c r="A888" s="22">
        <v>-1.3650000000000001E-6</v>
      </c>
      <c r="B888" s="22">
        <v>1.52010034E-4</v>
      </c>
      <c r="C888" s="22">
        <f t="shared" si="13"/>
        <v>0.15201003400000002</v>
      </c>
    </row>
    <row r="889" spans="1:3" x14ac:dyDescent="0.3">
      <c r="A889" s="22">
        <v>-1.3599999999999999E-6</v>
      </c>
      <c r="B889" s="22">
        <v>1.52010034E-4</v>
      </c>
      <c r="C889" s="22">
        <f t="shared" si="13"/>
        <v>0.15201003400000002</v>
      </c>
    </row>
    <row r="890" spans="1:3" x14ac:dyDescent="0.3">
      <c r="A890" s="22">
        <v>-1.3549999999999999E-6</v>
      </c>
      <c r="B890" s="22">
        <v>8.5552761399999996E-4</v>
      </c>
      <c r="C890" s="22">
        <f t="shared" si="13"/>
        <v>0.85552761399999999</v>
      </c>
    </row>
    <row r="891" spans="1:3" x14ac:dyDescent="0.3">
      <c r="A891" s="22">
        <v>-1.35E-6</v>
      </c>
      <c r="B891" s="22">
        <v>-2.5000001200000001E-4</v>
      </c>
      <c r="C891" s="22">
        <f t="shared" si="13"/>
        <v>-0.25000001199999999</v>
      </c>
    </row>
    <row r="892" spans="1:3" x14ac:dyDescent="0.3">
      <c r="A892" s="22">
        <v>-1.345E-6</v>
      </c>
      <c r="B892" s="22">
        <v>5.1507522999999997E-5</v>
      </c>
      <c r="C892" s="22">
        <f t="shared" si="13"/>
        <v>5.1507523E-2</v>
      </c>
    </row>
    <row r="893" spans="1:3" x14ac:dyDescent="0.3">
      <c r="A893" s="22">
        <v>-1.3400000000000001E-6</v>
      </c>
      <c r="B893" s="22">
        <v>-1.8580401959999999E-3</v>
      </c>
      <c r="C893" s="22">
        <f t="shared" si="13"/>
        <v>-1.8580401959999999</v>
      </c>
    </row>
    <row r="894" spans="1:3" x14ac:dyDescent="0.3">
      <c r="A894" s="22">
        <v>-1.3349999999999999E-6</v>
      </c>
      <c r="B894" s="22">
        <v>-1.4560301499999999E-3</v>
      </c>
      <c r="C894" s="22">
        <f t="shared" si="13"/>
        <v>-1.4560301499999999</v>
      </c>
    </row>
    <row r="895" spans="1:3" x14ac:dyDescent="0.3">
      <c r="A895" s="22">
        <v>-1.33E-6</v>
      </c>
      <c r="B895" s="22">
        <v>-7.52512569E-4</v>
      </c>
      <c r="C895" s="22">
        <f t="shared" si="13"/>
        <v>-0.75251256899999996</v>
      </c>
    </row>
    <row r="896" spans="1:3" x14ac:dyDescent="0.3">
      <c r="A896" s="22">
        <v>-1.325E-6</v>
      </c>
      <c r="B896" s="22">
        <v>6.5452259199999996E-4</v>
      </c>
      <c r="C896" s="22">
        <f t="shared" si="13"/>
        <v>0.65452259199999996</v>
      </c>
    </row>
    <row r="897" spans="1:3" x14ac:dyDescent="0.3">
      <c r="A897" s="22">
        <v>-1.3200000000000001E-6</v>
      </c>
      <c r="B897" s="22">
        <v>5.1507522999999997E-5</v>
      </c>
      <c r="C897" s="22">
        <f t="shared" si="13"/>
        <v>5.1507523E-2</v>
      </c>
    </row>
    <row r="898" spans="1:3" x14ac:dyDescent="0.3">
      <c r="A898" s="22">
        <v>-1.3149999999999999E-6</v>
      </c>
      <c r="B898" s="22">
        <v>-3.5050252300000001E-4</v>
      </c>
      <c r="C898" s="22">
        <f t="shared" si="13"/>
        <v>-0.35050252300000001</v>
      </c>
    </row>
    <row r="899" spans="1:3" x14ac:dyDescent="0.3">
      <c r="A899" s="22">
        <v>-1.31E-6</v>
      </c>
      <c r="B899" s="22">
        <v>-9.5351759199999999E-4</v>
      </c>
      <c r="C899" s="22">
        <f t="shared" si="13"/>
        <v>-0.95351759199999997</v>
      </c>
    </row>
    <row r="900" spans="1:3" x14ac:dyDescent="0.3">
      <c r="A900" s="22">
        <v>-1.305E-6</v>
      </c>
      <c r="B900" s="22">
        <v>-2.5000001200000001E-4</v>
      </c>
      <c r="C900" s="22">
        <f t="shared" ref="C900:C963" si="14">B900*10^3</f>
        <v>-0.25000001199999999</v>
      </c>
    </row>
    <row r="901" spans="1:3" x14ac:dyDescent="0.3">
      <c r="A901" s="22">
        <v>-1.3E-6</v>
      </c>
      <c r="B901" s="22">
        <v>-2.5000001200000001E-4</v>
      </c>
      <c r="C901" s="22">
        <f t="shared" si="14"/>
        <v>-0.25000001199999999</v>
      </c>
    </row>
    <row r="902" spans="1:3" x14ac:dyDescent="0.3">
      <c r="A902" s="22">
        <v>-1.2950000000000001E-6</v>
      </c>
      <c r="B902" s="22">
        <v>-6.5201005800000005E-4</v>
      </c>
      <c r="C902" s="22">
        <f t="shared" si="14"/>
        <v>-0.652010058</v>
      </c>
    </row>
    <row r="903" spans="1:3" x14ac:dyDescent="0.3">
      <c r="A903" s="22">
        <v>-1.2899999999999999E-6</v>
      </c>
      <c r="B903" s="22">
        <v>-1.154522615E-3</v>
      </c>
      <c r="C903" s="22">
        <f t="shared" si="14"/>
        <v>-1.1545226150000001</v>
      </c>
    </row>
    <row r="904" spans="1:3" x14ac:dyDescent="0.3">
      <c r="A904" s="22">
        <v>-1.285E-6</v>
      </c>
      <c r="B904" s="22">
        <v>-2.0590452189999998E-3</v>
      </c>
      <c r="C904" s="22">
        <f t="shared" si="14"/>
        <v>-2.0590452189999997</v>
      </c>
    </row>
    <row r="905" spans="1:3" x14ac:dyDescent="0.3">
      <c r="A905" s="22">
        <v>-1.28E-6</v>
      </c>
      <c r="B905" s="22">
        <v>-2.2600502419999999E-3</v>
      </c>
      <c r="C905" s="22">
        <f t="shared" si="14"/>
        <v>-2.2600502419999997</v>
      </c>
    </row>
    <row r="906" spans="1:3" x14ac:dyDescent="0.3">
      <c r="A906" s="22">
        <v>-1.2750000000000001E-6</v>
      </c>
      <c r="B906" s="22">
        <v>-1.154522615E-3</v>
      </c>
      <c r="C906" s="22">
        <f t="shared" si="14"/>
        <v>-1.1545226150000001</v>
      </c>
    </row>
    <row r="907" spans="1:3" x14ac:dyDescent="0.3">
      <c r="A907" s="22">
        <v>-1.2699999999999999E-6</v>
      </c>
      <c r="B907" s="22">
        <v>-9.5351759199999999E-4</v>
      </c>
      <c r="C907" s="22">
        <f t="shared" si="14"/>
        <v>-0.95351759199999997</v>
      </c>
    </row>
    <row r="908" spans="1:3" x14ac:dyDescent="0.3">
      <c r="A908" s="22">
        <v>-1.265E-6</v>
      </c>
      <c r="B908" s="22">
        <v>-1.3555276380000001E-3</v>
      </c>
      <c r="C908" s="22">
        <f t="shared" si="14"/>
        <v>-1.3555276380000001</v>
      </c>
    </row>
    <row r="909" spans="1:3" x14ac:dyDescent="0.3">
      <c r="A909" s="22">
        <v>-1.26E-6</v>
      </c>
      <c r="B909" s="22">
        <v>-1.0540201039999999E-3</v>
      </c>
      <c r="C909" s="22">
        <f t="shared" si="14"/>
        <v>-1.0540201039999999</v>
      </c>
    </row>
    <row r="910" spans="1:3" x14ac:dyDescent="0.3">
      <c r="A910" s="22">
        <v>-1.2550000000000001E-6</v>
      </c>
      <c r="B910" s="22">
        <v>-1.4560301499999999E-3</v>
      </c>
      <c r="C910" s="22">
        <f t="shared" si="14"/>
        <v>-1.4560301499999999</v>
      </c>
    </row>
    <row r="911" spans="1:3" x14ac:dyDescent="0.3">
      <c r="A911" s="22">
        <v>-1.2500000000000001E-6</v>
      </c>
      <c r="B911" s="22">
        <v>-1.958542707E-3</v>
      </c>
      <c r="C911" s="22">
        <f t="shared" si="14"/>
        <v>-1.9585427069999999</v>
      </c>
    </row>
    <row r="912" spans="1:3" x14ac:dyDescent="0.3">
      <c r="A912" s="22">
        <v>-1.2449999999999999E-6</v>
      </c>
      <c r="B912" s="22">
        <v>-2.6620602880000001E-3</v>
      </c>
      <c r="C912" s="22">
        <f t="shared" si="14"/>
        <v>-2.6620602880000002</v>
      </c>
    </row>
    <row r="913" spans="1:3" x14ac:dyDescent="0.3">
      <c r="A913" s="22">
        <v>-1.24E-6</v>
      </c>
      <c r="B913" s="22">
        <v>-3.0640703329999999E-3</v>
      </c>
      <c r="C913" s="22">
        <f t="shared" si="14"/>
        <v>-3.0640703330000001</v>
      </c>
    </row>
    <row r="914" spans="1:3" x14ac:dyDescent="0.3">
      <c r="A914" s="22">
        <v>-1.235E-6</v>
      </c>
      <c r="B914" s="22">
        <v>-1.958542707E-3</v>
      </c>
      <c r="C914" s="22">
        <f t="shared" si="14"/>
        <v>-1.9585427069999999</v>
      </c>
    </row>
    <row r="915" spans="1:3" x14ac:dyDescent="0.3">
      <c r="A915" s="22">
        <v>-1.2300000000000001E-6</v>
      </c>
      <c r="B915" s="22">
        <v>-2.1595477300000001E-3</v>
      </c>
      <c r="C915" s="22">
        <f t="shared" si="14"/>
        <v>-2.1595477299999999</v>
      </c>
    </row>
    <row r="916" spans="1:3" x14ac:dyDescent="0.3">
      <c r="A916" s="22">
        <v>-1.2249999999999999E-6</v>
      </c>
      <c r="B916" s="22">
        <v>-3.4660803790000001E-3</v>
      </c>
      <c r="C916" s="22">
        <f t="shared" si="14"/>
        <v>-3.4660803790000001</v>
      </c>
    </row>
    <row r="917" spans="1:3" x14ac:dyDescent="0.3">
      <c r="A917" s="22">
        <v>-1.22E-6</v>
      </c>
      <c r="B917" s="22">
        <v>-3.0640703329999999E-3</v>
      </c>
      <c r="C917" s="22">
        <f t="shared" si="14"/>
        <v>-3.0640703330000001</v>
      </c>
    </row>
    <row r="918" spans="1:3" x14ac:dyDescent="0.3">
      <c r="A918" s="22">
        <v>-1.215E-6</v>
      </c>
      <c r="B918" s="22">
        <v>-3.767587914E-3</v>
      </c>
      <c r="C918" s="22">
        <f t="shared" si="14"/>
        <v>-3.7675879139999999</v>
      </c>
    </row>
    <row r="919" spans="1:3" x14ac:dyDescent="0.3">
      <c r="A919" s="22">
        <v>-1.2100000000000001E-6</v>
      </c>
      <c r="B919" s="22">
        <v>-3.6670854020000002E-3</v>
      </c>
      <c r="C919" s="22">
        <f t="shared" si="14"/>
        <v>-3.6670854020000001</v>
      </c>
    </row>
    <row r="920" spans="1:3" x14ac:dyDescent="0.3">
      <c r="A920" s="22">
        <v>-1.2049999999999999E-6</v>
      </c>
      <c r="B920" s="22">
        <v>-3.4660803790000001E-3</v>
      </c>
      <c r="C920" s="22">
        <f t="shared" si="14"/>
        <v>-3.4660803790000001</v>
      </c>
    </row>
    <row r="921" spans="1:3" x14ac:dyDescent="0.3">
      <c r="A921" s="22">
        <v>-1.1999999999999999E-6</v>
      </c>
      <c r="B921" s="22">
        <v>-3.3655778679999998E-3</v>
      </c>
      <c r="C921" s="22">
        <f t="shared" si="14"/>
        <v>-3.3655778679999999</v>
      </c>
    </row>
    <row r="922" spans="1:3" x14ac:dyDescent="0.3">
      <c r="A922" s="22">
        <v>-1.195E-6</v>
      </c>
      <c r="B922" s="22">
        <v>-2.7625627989999999E-3</v>
      </c>
      <c r="C922" s="22">
        <f t="shared" si="14"/>
        <v>-2.7625627989999999</v>
      </c>
    </row>
    <row r="923" spans="1:3" x14ac:dyDescent="0.3">
      <c r="A923" s="22">
        <v>-1.19E-6</v>
      </c>
      <c r="B923" s="22">
        <v>-2.6620602880000001E-3</v>
      </c>
      <c r="C923" s="22">
        <f t="shared" si="14"/>
        <v>-2.6620602880000002</v>
      </c>
    </row>
    <row r="924" spans="1:3" x14ac:dyDescent="0.3">
      <c r="A924" s="22">
        <v>-1.1850000000000001E-6</v>
      </c>
      <c r="B924" s="22">
        <v>-2.3605527530000002E-3</v>
      </c>
      <c r="C924" s="22">
        <f t="shared" si="14"/>
        <v>-2.3605527530000003</v>
      </c>
    </row>
    <row r="925" spans="1:3" x14ac:dyDescent="0.3">
      <c r="A925" s="22">
        <v>-1.1799999999999999E-6</v>
      </c>
      <c r="B925" s="22">
        <v>-2.6620602880000001E-3</v>
      </c>
      <c r="C925" s="22">
        <f t="shared" si="14"/>
        <v>-2.6620602880000002</v>
      </c>
    </row>
    <row r="926" spans="1:3" x14ac:dyDescent="0.3">
      <c r="A926" s="22">
        <v>-1.175E-6</v>
      </c>
      <c r="B926" s="22">
        <v>-2.1595477300000001E-3</v>
      </c>
      <c r="C926" s="22">
        <f t="shared" si="14"/>
        <v>-2.1595477299999999</v>
      </c>
    </row>
    <row r="927" spans="1:3" x14ac:dyDescent="0.3">
      <c r="A927" s="22">
        <v>-1.17E-6</v>
      </c>
      <c r="B927" s="22">
        <v>-1.8580401959999999E-3</v>
      </c>
      <c r="C927" s="22">
        <f t="shared" si="14"/>
        <v>-1.8580401959999999</v>
      </c>
    </row>
    <row r="928" spans="1:3" x14ac:dyDescent="0.3">
      <c r="A928" s="22">
        <v>-1.1650000000000001E-6</v>
      </c>
      <c r="B928" s="22">
        <v>-1.4560301499999999E-3</v>
      </c>
      <c r="C928" s="22">
        <f t="shared" si="14"/>
        <v>-1.4560301499999999</v>
      </c>
    </row>
    <row r="929" spans="1:3" x14ac:dyDescent="0.3">
      <c r="A929" s="22">
        <v>-1.1599999999999999E-6</v>
      </c>
      <c r="B929" s="22">
        <v>-1.8580401959999999E-3</v>
      </c>
      <c r="C929" s="22">
        <f t="shared" si="14"/>
        <v>-1.8580401959999999</v>
      </c>
    </row>
    <row r="930" spans="1:3" x14ac:dyDescent="0.3">
      <c r="A930" s="22">
        <v>-1.155E-6</v>
      </c>
      <c r="B930" s="22">
        <v>-1.8580401959999999E-3</v>
      </c>
      <c r="C930" s="22">
        <f t="shared" si="14"/>
        <v>-1.8580401959999999</v>
      </c>
    </row>
    <row r="931" spans="1:3" x14ac:dyDescent="0.3">
      <c r="A931" s="22">
        <v>-1.15E-6</v>
      </c>
      <c r="B931" s="22">
        <v>-2.5000001200000001E-4</v>
      </c>
      <c r="C931" s="22">
        <f t="shared" si="14"/>
        <v>-0.25000001199999999</v>
      </c>
    </row>
    <row r="932" spans="1:3" x14ac:dyDescent="0.3">
      <c r="A932" s="22">
        <v>-1.145E-6</v>
      </c>
      <c r="B932" s="22">
        <v>8.5552761399999996E-4</v>
      </c>
      <c r="C932" s="22">
        <f t="shared" si="14"/>
        <v>0.85552761399999999</v>
      </c>
    </row>
    <row r="933" spans="1:3" x14ac:dyDescent="0.3">
      <c r="A933" s="22">
        <v>-1.1400000000000001E-6</v>
      </c>
      <c r="B933" s="22">
        <v>1.0565326370000001E-3</v>
      </c>
      <c r="C933" s="22">
        <f t="shared" si="14"/>
        <v>1.0565326370000001</v>
      </c>
    </row>
    <row r="934" spans="1:3" x14ac:dyDescent="0.3">
      <c r="A934" s="22">
        <v>-1.1349999999999999E-6</v>
      </c>
      <c r="B934" s="22">
        <v>5.5402008000000002E-4</v>
      </c>
      <c r="C934" s="22">
        <f t="shared" si="14"/>
        <v>0.55402008000000003</v>
      </c>
    </row>
    <row r="935" spans="1:3" x14ac:dyDescent="0.3">
      <c r="A935" s="22">
        <v>-1.13E-6</v>
      </c>
      <c r="B935" s="22">
        <v>9.56030126E-4</v>
      </c>
      <c r="C935" s="22">
        <f t="shared" si="14"/>
        <v>0.95603012600000004</v>
      </c>
    </row>
    <row r="936" spans="1:3" x14ac:dyDescent="0.3">
      <c r="A936" s="22">
        <v>-1.125E-6</v>
      </c>
      <c r="B936" s="22">
        <v>8.5552761399999996E-4</v>
      </c>
      <c r="C936" s="22">
        <f t="shared" si="14"/>
        <v>0.85552761399999999</v>
      </c>
    </row>
    <row r="937" spans="1:3" x14ac:dyDescent="0.3">
      <c r="A937" s="22">
        <v>-1.1200000000000001E-6</v>
      </c>
      <c r="B937" s="22">
        <v>1.358040172E-3</v>
      </c>
      <c r="C937" s="22">
        <f t="shared" si="14"/>
        <v>1.3580401719999999</v>
      </c>
    </row>
    <row r="938" spans="1:3" x14ac:dyDescent="0.3">
      <c r="A938" s="22">
        <v>-1.1149999999999999E-6</v>
      </c>
      <c r="B938" s="22">
        <v>1.358040172E-3</v>
      </c>
      <c r="C938" s="22">
        <f t="shared" si="14"/>
        <v>1.3580401719999999</v>
      </c>
    </row>
    <row r="939" spans="1:3" x14ac:dyDescent="0.3">
      <c r="A939" s="22">
        <v>-1.11E-6</v>
      </c>
      <c r="B939" s="22">
        <v>5.1507522999999997E-5</v>
      </c>
      <c r="C939" s="22">
        <f t="shared" si="14"/>
        <v>5.1507523E-2</v>
      </c>
    </row>
    <row r="940" spans="1:3" x14ac:dyDescent="0.3">
      <c r="A940" s="22">
        <v>-1.105E-6</v>
      </c>
      <c r="B940" s="22">
        <v>-3.5050252300000001E-4</v>
      </c>
      <c r="C940" s="22">
        <f t="shared" si="14"/>
        <v>-0.35050252300000001</v>
      </c>
    </row>
    <row r="941" spans="1:3" x14ac:dyDescent="0.3">
      <c r="A941" s="22">
        <v>-1.1000000000000001E-6</v>
      </c>
      <c r="B941" s="22">
        <v>1.52010034E-4</v>
      </c>
      <c r="C941" s="22">
        <f t="shared" si="14"/>
        <v>0.15201003400000002</v>
      </c>
    </row>
    <row r="942" spans="1:3" x14ac:dyDescent="0.3">
      <c r="A942" s="22">
        <v>-1.0950000000000001E-6</v>
      </c>
      <c r="B942" s="22">
        <v>1.52010034E-4</v>
      </c>
      <c r="C942" s="22">
        <f t="shared" si="14"/>
        <v>0.15201003400000002</v>
      </c>
    </row>
    <row r="943" spans="1:3" x14ac:dyDescent="0.3">
      <c r="A943" s="22">
        <v>-1.0899999999999999E-6</v>
      </c>
      <c r="B943" s="22">
        <v>-5.51507546E-4</v>
      </c>
      <c r="C943" s="22">
        <f t="shared" si="14"/>
        <v>-0.55150754599999996</v>
      </c>
    </row>
    <row r="944" spans="1:3" x14ac:dyDescent="0.3">
      <c r="A944" s="22">
        <v>-1.085E-6</v>
      </c>
      <c r="B944" s="22">
        <v>-1.0540201039999999E-3</v>
      </c>
      <c r="C944" s="22">
        <f t="shared" si="14"/>
        <v>-1.0540201039999999</v>
      </c>
    </row>
    <row r="945" spans="1:3" x14ac:dyDescent="0.3">
      <c r="A945" s="22">
        <v>-1.08E-6</v>
      </c>
      <c r="B945" s="22">
        <v>-1.154522615E-3</v>
      </c>
      <c r="C945" s="22">
        <f t="shared" si="14"/>
        <v>-1.1545226150000001</v>
      </c>
    </row>
    <row r="946" spans="1:3" x14ac:dyDescent="0.3">
      <c r="A946" s="22">
        <v>-1.0750000000000001E-6</v>
      </c>
      <c r="B946" s="22">
        <v>-1.7575376840000001E-3</v>
      </c>
      <c r="C946" s="22">
        <f t="shared" si="14"/>
        <v>-1.7575376840000001</v>
      </c>
    </row>
    <row r="947" spans="1:3" x14ac:dyDescent="0.3">
      <c r="A947" s="22">
        <v>-1.0699999999999999E-6</v>
      </c>
      <c r="B947" s="22">
        <v>-2.7625627989999999E-3</v>
      </c>
      <c r="C947" s="22">
        <f t="shared" si="14"/>
        <v>-2.7625627989999999</v>
      </c>
    </row>
    <row r="948" spans="1:3" x14ac:dyDescent="0.3">
      <c r="A948" s="22">
        <v>-1.065E-6</v>
      </c>
      <c r="B948" s="22">
        <v>-1.958542707E-3</v>
      </c>
      <c r="C948" s="22">
        <f t="shared" si="14"/>
        <v>-1.9585427069999999</v>
      </c>
    </row>
    <row r="949" spans="1:3" x14ac:dyDescent="0.3">
      <c r="A949" s="22">
        <v>-1.06E-6</v>
      </c>
      <c r="B949" s="22">
        <v>-1.8580401959999999E-3</v>
      </c>
      <c r="C949" s="22">
        <f t="shared" si="14"/>
        <v>-1.8580401959999999</v>
      </c>
    </row>
    <row r="950" spans="1:3" x14ac:dyDescent="0.3">
      <c r="A950" s="22">
        <v>-1.0550000000000001E-6</v>
      </c>
      <c r="B950" s="22">
        <v>-1.0540201039999999E-3</v>
      </c>
      <c r="C950" s="22">
        <f t="shared" si="14"/>
        <v>-1.0540201039999999</v>
      </c>
    </row>
    <row r="951" spans="1:3" x14ac:dyDescent="0.3">
      <c r="A951" s="22">
        <v>-1.0499999999999999E-6</v>
      </c>
      <c r="B951" s="22">
        <v>-1.4560301499999999E-3</v>
      </c>
      <c r="C951" s="22">
        <f t="shared" si="14"/>
        <v>-1.4560301499999999</v>
      </c>
    </row>
    <row r="952" spans="1:3" x14ac:dyDescent="0.3">
      <c r="A952" s="22">
        <v>-1.0449999999999999E-6</v>
      </c>
      <c r="B952" s="22">
        <v>-7.52512569E-4</v>
      </c>
      <c r="C952" s="22">
        <f t="shared" si="14"/>
        <v>-0.75251256899999996</v>
      </c>
    </row>
    <row r="953" spans="1:3" x14ac:dyDescent="0.3">
      <c r="A953" s="22">
        <v>-1.04E-6</v>
      </c>
      <c r="B953" s="22">
        <v>-3.5050252300000001E-4</v>
      </c>
      <c r="C953" s="22">
        <f t="shared" si="14"/>
        <v>-0.35050252300000001</v>
      </c>
    </row>
    <row r="954" spans="1:3" x14ac:dyDescent="0.3">
      <c r="A954" s="22">
        <v>-1.035E-6</v>
      </c>
      <c r="B954" s="22">
        <v>-1.0540201039999999E-3</v>
      </c>
      <c r="C954" s="22">
        <f t="shared" si="14"/>
        <v>-1.0540201039999999</v>
      </c>
    </row>
    <row r="955" spans="1:3" x14ac:dyDescent="0.3">
      <c r="A955" s="22">
        <v>-1.0300000000000001E-6</v>
      </c>
      <c r="B955" s="22">
        <v>-1.0540201039999999E-3</v>
      </c>
      <c r="C955" s="22">
        <f t="shared" si="14"/>
        <v>-1.0540201039999999</v>
      </c>
    </row>
    <row r="956" spans="1:3" x14ac:dyDescent="0.3">
      <c r="A956" s="22">
        <v>-1.0249999999999999E-6</v>
      </c>
      <c r="B956" s="22">
        <v>-1.4560301499999999E-3</v>
      </c>
      <c r="C956" s="22">
        <f t="shared" si="14"/>
        <v>-1.4560301499999999</v>
      </c>
    </row>
    <row r="957" spans="1:3" x14ac:dyDescent="0.3">
      <c r="A957" s="22">
        <v>-1.02E-6</v>
      </c>
      <c r="B957" s="22">
        <v>-1.3555276380000001E-3</v>
      </c>
      <c r="C957" s="22">
        <f t="shared" si="14"/>
        <v>-1.3555276380000001</v>
      </c>
    </row>
    <row r="958" spans="1:3" x14ac:dyDescent="0.3">
      <c r="A958" s="22">
        <v>-1.015E-6</v>
      </c>
      <c r="B958" s="22">
        <v>-1.556532661E-3</v>
      </c>
      <c r="C958" s="22">
        <f t="shared" si="14"/>
        <v>-1.5565326609999999</v>
      </c>
    </row>
    <row r="959" spans="1:3" x14ac:dyDescent="0.3">
      <c r="A959" s="22">
        <v>-1.0100000000000001E-6</v>
      </c>
      <c r="B959" s="22">
        <v>-1.0540201039999999E-3</v>
      </c>
      <c r="C959" s="22">
        <f t="shared" si="14"/>
        <v>-1.0540201039999999</v>
      </c>
    </row>
    <row r="960" spans="1:3" x14ac:dyDescent="0.3">
      <c r="A960" s="22">
        <v>-1.0049999999999999E-6</v>
      </c>
      <c r="B960" s="22">
        <v>-1.7575376840000001E-3</v>
      </c>
      <c r="C960" s="22">
        <f t="shared" si="14"/>
        <v>-1.7575376840000001</v>
      </c>
    </row>
    <row r="961" spans="1:3" x14ac:dyDescent="0.3">
      <c r="A961" s="22">
        <v>-9.9999999999999995E-7</v>
      </c>
      <c r="B961" s="22">
        <v>-1.7575376840000001E-3</v>
      </c>
      <c r="C961" s="22">
        <f t="shared" si="14"/>
        <v>-1.7575376840000001</v>
      </c>
    </row>
    <row r="962" spans="1:3" x14ac:dyDescent="0.3">
      <c r="A962" s="22">
        <v>-9.95E-7</v>
      </c>
      <c r="B962" s="22">
        <v>-1.8580401959999999E-3</v>
      </c>
      <c r="C962" s="22">
        <f t="shared" si="14"/>
        <v>-1.8580401959999999</v>
      </c>
    </row>
    <row r="963" spans="1:3" x14ac:dyDescent="0.3">
      <c r="A963" s="22">
        <v>-9.9000000000000005E-7</v>
      </c>
      <c r="B963" s="22">
        <v>-1.7575376840000001E-3</v>
      </c>
      <c r="C963" s="22">
        <f t="shared" si="14"/>
        <v>-1.7575376840000001</v>
      </c>
    </row>
    <row r="964" spans="1:3" x14ac:dyDescent="0.3">
      <c r="A964" s="22">
        <v>-9.850000000000001E-7</v>
      </c>
      <c r="B964" s="22">
        <v>-1.958542707E-3</v>
      </c>
      <c r="C964" s="22">
        <f t="shared" ref="C964:C1027" si="15">B964*10^3</f>
        <v>-1.9585427069999999</v>
      </c>
    </row>
    <row r="965" spans="1:3" x14ac:dyDescent="0.3">
      <c r="A965" s="22">
        <v>-9.7999999999999993E-7</v>
      </c>
      <c r="B965" s="22">
        <v>-1.556532661E-3</v>
      </c>
      <c r="C965" s="22">
        <f t="shared" si="15"/>
        <v>-1.5565326609999999</v>
      </c>
    </row>
    <row r="966" spans="1:3" x14ac:dyDescent="0.3">
      <c r="A966" s="22">
        <v>-9.7499999999999998E-7</v>
      </c>
      <c r="B966" s="22">
        <v>-1.0540201039999999E-3</v>
      </c>
      <c r="C966" s="22">
        <f t="shared" si="15"/>
        <v>-1.0540201039999999</v>
      </c>
    </row>
    <row r="967" spans="1:3" x14ac:dyDescent="0.3">
      <c r="A967" s="22">
        <v>-9.7000000000000003E-7</v>
      </c>
      <c r="B967" s="22">
        <v>-6.5201005800000005E-4</v>
      </c>
      <c r="C967" s="22">
        <f t="shared" si="15"/>
        <v>-0.652010058</v>
      </c>
    </row>
    <row r="968" spans="1:3" x14ac:dyDescent="0.3">
      <c r="A968" s="22">
        <v>-9.6500000000000008E-7</v>
      </c>
      <c r="B968" s="22">
        <v>5.1507522999999997E-5</v>
      </c>
      <c r="C968" s="22">
        <f t="shared" si="15"/>
        <v>5.1507523E-2</v>
      </c>
    </row>
    <row r="969" spans="1:3" x14ac:dyDescent="0.3">
      <c r="A969" s="22">
        <v>-9.5999999999999991E-7</v>
      </c>
      <c r="B969" s="22">
        <v>4.5351756800000002E-4</v>
      </c>
      <c r="C969" s="22">
        <f t="shared" si="15"/>
        <v>0.45351756800000004</v>
      </c>
    </row>
    <row r="970" spans="1:3" x14ac:dyDescent="0.3">
      <c r="A970" s="22">
        <v>-9.5499999999999996E-7</v>
      </c>
      <c r="B970" s="22">
        <v>-1.4949749999999999E-4</v>
      </c>
      <c r="C970" s="22">
        <f t="shared" si="15"/>
        <v>-0.14949749999999998</v>
      </c>
    </row>
    <row r="971" spans="1:3" x14ac:dyDescent="0.3">
      <c r="A971" s="22">
        <v>-9.5000000000000001E-7</v>
      </c>
      <c r="B971" s="22">
        <v>1.52010034E-4</v>
      </c>
      <c r="C971" s="22">
        <f t="shared" si="15"/>
        <v>0.15201003400000002</v>
      </c>
    </row>
    <row r="972" spans="1:3" x14ac:dyDescent="0.3">
      <c r="A972" s="22">
        <v>-9.4499999999999995E-7</v>
      </c>
      <c r="B972" s="22">
        <v>7.5502510300000001E-4</v>
      </c>
      <c r="C972" s="22">
        <f t="shared" si="15"/>
        <v>0.75502510300000003</v>
      </c>
    </row>
    <row r="973" spans="1:3" x14ac:dyDescent="0.3">
      <c r="A973" s="22">
        <v>-9.4E-7</v>
      </c>
      <c r="B973" s="22">
        <v>5.1507522999999997E-5</v>
      </c>
      <c r="C973" s="22">
        <f t="shared" si="15"/>
        <v>5.1507523E-2</v>
      </c>
    </row>
    <row r="974" spans="1:3" x14ac:dyDescent="0.3">
      <c r="A974" s="22">
        <v>-9.3500000000000005E-7</v>
      </c>
      <c r="B974" s="22">
        <v>1.0565326370000001E-3</v>
      </c>
      <c r="C974" s="22">
        <f t="shared" si="15"/>
        <v>1.0565326370000001</v>
      </c>
    </row>
    <row r="975" spans="1:3" x14ac:dyDescent="0.3">
      <c r="A975" s="22">
        <v>-9.2999999999999999E-7</v>
      </c>
      <c r="B975" s="22">
        <v>1.358040172E-3</v>
      </c>
      <c r="C975" s="22">
        <f t="shared" si="15"/>
        <v>1.3580401719999999</v>
      </c>
    </row>
    <row r="976" spans="1:3" x14ac:dyDescent="0.3">
      <c r="A976" s="22">
        <v>-9.2500000000000004E-7</v>
      </c>
      <c r="B976" s="22">
        <v>6.5452259199999996E-4</v>
      </c>
      <c r="C976" s="22">
        <f t="shared" si="15"/>
        <v>0.65452259199999996</v>
      </c>
    </row>
    <row r="977" spans="1:3" x14ac:dyDescent="0.3">
      <c r="A977" s="22">
        <v>-9.1999999999999998E-7</v>
      </c>
      <c r="B977" s="22">
        <v>9.56030126E-4</v>
      </c>
      <c r="C977" s="22">
        <f t="shared" si="15"/>
        <v>0.95603012600000004</v>
      </c>
    </row>
    <row r="978" spans="1:3" x14ac:dyDescent="0.3">
      <c r="A978" s="22">
        <v>-9.1500000000000003E-7</v>
      </c>
      <c r="B978" s="22">
        <v>5.1507522999999997E-5</v>
      </c>
      <c r="C978" s="22">
        <f t="shared" si="15"/>
        <v>5.1507523E-2</v>
      </c>
    </row>
    <row r="979" spans="1:3" x14ac:dyDescent="0.3">
      <c r="A979" s="22">
        <v>-9.0999999999999997E-7</v>
      </c>
      <c r="B979" s="22">
        <v>1.52010034E-4</v>
      </c>
      <c r="C979" s="22">
        <f t="shared" si="15"/>
        <v>0.15201003400000002</v>
      </c>
    </row>
    <row r="980" spans="1:3" x14ac:dyDescent="0.3">
      <c r="A980" s="22">
        <v>-9.0500000000000002E-7</v>
      </c>
      <c r="B980" s="22">
        <v>-3.5050252300000001E-4</v>
      </c>
      <c r="C980" s="22">
        <f t="shared" si="15"/>
        <v>-0.35050252300000001</v>
      </c>
    </row>
    <row r="981" spans="1:3" x14ac:dyDescent="0.3">
      <c r="A981" s="22">
        <v>-8.9999999999999996E-7</v>
      </c>
      <c r="B981" s="22">
        <v>-9.5351759199999999E-4</v>
      </c>
      <c r="C981" s="22">
        <f t="shared" si="15"/>
        <v>-0.95351759199999997</v>
      </c>
    </row>
    <row r="982" spans="1:3" x14ac:dyDescent="0.3">
      <c r="A982" s="22">
        <v>-8.9500000000000001E-7</v>
      </c>
      <c r="B982" s="22">
        <v>5.1507522999999997E-5</v>
      </c>
      <c r="C982" s="22">
        <f t="shared" si="15"/>
        <v>5.1507523E-2</v>
      </c>
    </row>
    <row r="983" spans="1:3" x14ac:dyDescent="0.3">
      <c r="A983" s="22">
        <v>-8.8999999999999995E-7</v>
      </c>
      <c r="B983" s="22">
        <v>-1.4949749999999999E-4</v>
      </c>
      <c r="C983" s="22">
        <f t="shared" si="15"/>
        <v>-0.14949749999999998</v>
      </c>
    </row>
    <row r="984" spans="1:3" x14ac:dyDescent="0.3">
      <c r="A984" s="22">
        <v>-8.85E-7</v>
      </c>
      <c r="B984" s="22">
        <v>-6.5201005800000005E-4</v>
      </c>
      <c r="C984" s="22">
        <f t="shared" si="15"/>
        <v>-0.652010058</v>
      </c>
    </row>
    <row r="985" spans="1:3" x14ac:dyDescent="0.3">
      <c r="A985" s="22">
        <v>-8.8000000000000004E-7</v>
      </c>
      <c r="B985" s="22">
        <v>-1.154522615E-3</v>
      </c>
      <c r="C985" s="22">
        <f t="shared" si="15"/>
        <v>-1.1545226150000001</v>
      </c>
    </row>
    <row r="986" spans="1:3" x14ac:dyDescent="0.3">
      <c r="A986" s="22">
        <v>-8.7499999999999999E-7</v>
      </c>
      <c r="B986" s="22">
        <v>-2.6620602880000001E-3</v>
      </c>
      <c r="C986" s="22">
        <f t="shared" si="15"/>
        <v>-2.6620602880000002</v>
      </c>
    </row>
    <row r="987" spans="1:3" x14ac:dyDescent="0.3">
      <c r="A987" s="22">
        <v>-8.7000000000000003E-7</v>
      </c>
      <c r="B987" s="22">
        <v>-2.7625627989999999E-3</v>
      </c>
      <c r="C987" s="22">
        <f t="shared" si="15"/>
        <v>-2.7625627989999999</v>
      </c>
    </row>
    <row r="988" spans="1:3" x14ac:dyDescent="0.3">
      <c r="A988" s="22">
        <v>-8.6499999999999998E-7</v>
      </c>
      <c r="B988" s="22">
        <v>-2.3605527530000002E-3</v>
      </c>
      <c r="C988" s="22">
        <f t="shared" si="15"/>
        <v>-2.3605527530000003</v>
      </c>
    </row>
    <row r="989" spans="1:3" x14ac:dyDescent="0.3">
      <c r="A989" s="22">
        <v>-8.6000000000000002E-7</v>
      </c>
      <c r="B989" s="22">
        <v>-2.6620602880000001E-3</v>
      </c>
      <c r="C989" s="22">
        <f t="shared" si="15"/>
        <v>-2.6620602880000002</v>
      </c>
    </row>
    <row r="990" spans="1:3" x14ac:dyDescent="0.3">
      <c r="A990" s="22">
        <v>-8.5499999999999997E-7</v>
      </c>
      <c r="B990" s="22">
        <v>-2.6620602880000001E-3</v>
      </c>
      <c r="C990" s="22">
        <f t="shared" si="15"/>
        <v>-2.6620602880000002</v>
      </c>
    </row>
    <row r="991" spans="1:3" x14ac:dyDescent="0.3">
      <c r="A991" s="22">
        <v>-8.5000000000000001E-7</v>
      </c>
      <c r="B991" s="22">
        <v>-3.767587914E-3</v>
      </c>
      <c r="C991" s="22">
        <f t="shared" si="15"/>
        <v>-3.7675879139999999</v>
      </c>
    </row>
    <row r="992" spans="1:3" x14ac:dyDescent="0.3">
      <c r="A992" s="22">
        <v>-8.4499999999999996E-7</v>
      </c>
      <c r="B992" s="22">
        <v>-4.2701004710000001E-3</v>
      </c>
      <c r="C992" s="22">
        <f t="shared" si="15"/>
        <v>-4.2701004710000001</v>
      </c>
    </row>
    <row r="993" spans="1:3" x14ac:dyDescent="0.3">
      <c r="A993" s="22">
        <v>-8.4E-7</v>
      </c>
      <c r="B993" s="22">
        <v>-5.0741205629999996E-3</v>
      </c>
      <c r="C993" s="22">
        <f t="shared" si="15"/>
        <v>-5.0741205629999993</v>
      </c>
    </row>
    <row r="994" spans="1:3" x14ac:dyDescent="0.3">
      <c r="A994" s="22">
        <v>-8.3500000000000005E-7</v>
      </c>
      <c r="B994" s="22">
        <v>-4.2701004710000001E-3</v>
      </c>
      <c r="C994" s="22">
        <f t="shared" si="15"/>
        <v>-4.2701004710000001</v>
      </c>
    </row>
    <row r="995" spans="1:3" x14ac:dyDescent="0.3">
      <c r="A995" s="22">
        <v>-8.2999999999999999E-7</v>
      </c>
      <c r="B995" s="22">
        <v>-5.0741205629999996E-3</v>
      </c>
      <c r="C995" s="22">
        <f t="shared" si="15"/>
        <v>-5.0741205629999993</v>
      </c>
    </row>
    <row r="996" spans="1:3" x14ac:dyDescent="0.3">
      <c r="A996" s="22">
        <v>-8.2500000000000004E-7</v>
      </c>
      <c r="B996" s="22">
        <v>-5.0741205629999996E-3</v>
      </c>
      <c r="C996" s="22">
        <f t="shared" si="15"/>
        <v>-5.0741205629999993</v>
      </c>
    </row>
    <row r="997" spans="1:3" x14ac:dyDescent="0.3">
      <c r="A997" s="22">
        <v>-8.1999999999999998E-7</v>
      </c>
      <c r="B997" s="22">
        <v>-4.6721105170000003E-3</v>
      </c>
      <c r="C997" s="22">
        <f t="shared" si="15"/>
        <v>-4.6721105170000001</v>
      </c>
    </row>
    <row r="998" spans="1:3" x14ac:dyDescent="0.3">
      <c r="A998" s="22">
        <v>-8.1500000000000003E-7</v>
      </c>
      <c r="B998" s="22">
        <v>-4.7726130289999997E-3</v>
      </c>
      <c r="C998" s="22">
        <f t="shared" si="15"/>
        <v>-4.7726130289999995</v>
      </c>
    </row>
    <row r="999" spans="1:3" x14ac:dyDescent="0.3">
      <c r="A999" s="22">
        <v>-8.0999999999999997E-7</v>
      </c>
      <c r="B999" s="22">
        <v>-4.4711054940000002E-3</v>
      </c>
      <c r="C999" s="22">
        <f t="shared" si="15"/>
        <v>-4.4711054940000006</v>
      </c>
    </row>
    <row r="1000" spans="1:3" x14ac:dyDescent="0.3">
      <c r="A1000" s="22">
        <v>-8.0500000000000002E-7</v>
      </c>
      <c r="B1000" s="22">
        <v>-4.6721105170000003E-3</v>
      </c>
      <c r="C1000" s="22">
        <f t="shared" si="15"/>
        <v>-4.6721105170000001</v>
      </c>
    </row>
    <row r="1001" spans="1:3" x14ac:dyDescent="0.3">
      <c r="A1001" s="22">
        <v>-7.9999999999999996E-7</v>
      </c>
      <c r="B1001" s="22">
        <v>-4.2701004710000001E-3</v>
      </c>
      <c r="C1001" s="22">
        <f t="shared" si="15"/>
        <v>-4.2701004710000001</v>
      </c>
    </row>
    <row r="1002" spans="1:3" x14ac:dyDescent="0.3">
      <c r="A1002" s="22">
        <v>-7.9500000000000001E-7</v>
      </c>
      <c r="B1002" s="22">
        <v>-4.6721105170000003E-3</v>
      </c>
      <c r="C1002" s="22">
        <f t="shared" si="15"/>
        <v>-4.6721105170000001</v>
      </c>
    </row>
    <row r="1003" spans="1:3" x14ac:dyDescent="0.3">
      <c r="A1003" s="22">
        <v>-7.8999999999999995E-7</v>
      </c>
      <c r="B1003" s="22">
        <v>-4.2701004710000001E-3</v>
      </c>
      <c r="C1003" s="22">
        <f t="shared" si="15"/>
        <v>-4.2701004710000001</v>
      </c>
    </row>
    <row r="1004" spans="1:3" x14ac:dyDescent="0.3">
      <c r="A1004" s="22">
        <v>-7.85E-7</v>
      </c>
      <c r="B1004" s="22">
        <v>-4.2701004710000001E-3</v>
      </c>
      <c r="C1004" s="22">
        <f t="shared" si="15"/>
        <v>-4.2701004710000001</v>
      </c>
    </row>
    <row r="1005" spans="1:3" x14ac:dyDescent="0.3">
      <c r="A1005" s="22">
        <v>-7.8000000000000005E-7</v>
      </c>
      <c r="B1005" s="22">
        <v>-3.8680904249999998E-3</v>
      </c>
      <c r="C1005" s="22">
        <f t="shared" si="15"/>
        <v>-3.8680904249999997</v>
      </c>
    </row>
    <row r="1006" spans="1:3" x14ac:dyDescent="0.3">
      <c r="A1006" s="22">
        <v>-7.7499999999999999E-7</v>
      </c>
      <c r="B1006" s="22">
        <v>-3.0640703329999999E-3</v>
      </c>
      <c r="C1006" s="22">
        <f t="shared" si="15"/>
        <v>-3.0640703330000001</v>
      </c>
    </row>
    <row r="1007" spans="1:3" x14ac:dyDescent="0.3">
      <c r="A1007" s="22">
        <v>-7.7000000000000004E-7</v>
      </c>
      <c r="B1007" s="22">
        <v>-2.963567822E-3</v>
      </c>
      <c r="C1007" s="22">
        <f t="shared" si="15"/>
        <v>-2.9635678219999999</v>
      </c>
    </row>
    <row r="1008" spans="1:3" x14ac:dyDescent="0.3">
      <c r="A1008" s="22">
        <v>-7.6499999999999998E-7</v>
      </c>
      <c r="B1008" s="22">
        <v>-3.4660803790000001E-3</v>
      </c>
      <c r="C1008" s="22">
        <f t="shared" si="15"/>
        <v>-3.4660803790000001</v>
      </c>
    </row>
    <row r="1009" spans="1:3" x14ac:dyDescent="0.3">
      <c r="A1009" s="22">
        <v>-7.6000000000000003E-7</v>
      </c>
      <c r="B1009" s="22">
        <v>-3.1645728450000001E-3</v>
      </c>
      <c r="C1009" s="22">
        <f t="shared" si="15"/>
        <v>-3.1645728450000004</v>
      </c>
    </row>
    <row r="1010" spans="1:3" x14ac:dyDescent="0.3">
      <c r="A1010" s="22">
        <v>-7.5499999999999997E-7</v>
      </c>
      <c r="B1010" s="22">
        <v>-3.4660803790000001E-3</v>
      </c>
      <c r="C1010" s="22">
        <f t="shared" si="15"/>
        <v>-3.4660803790000001</v>
      </c>
    </row>
    <row r="1011" spans="1:3" x14ac:dyDescent="0.3">
      <c r="A1011" s="22">
        <v>-7.5000000000000002E-7</v>
      </c>
      <c r="B1011" s="22">
        <v>-3.0640703329999999E-3</v>
      </c>
      <c r="C1011" s="22">
        <f t="shared" si="15"/>
        <v>-3.0640703330000001</v>
      </c>
    </row>
    <row r="1012" spans="1:3" x14ac:dyDescent="0.3">
      <c r="A1012" s="22">
        <v>-7.4499999999999996E-7</v>
      </c>
      <c r="B1012" s="22">
        <v>-1.958542707E-3</v>
      </c>
      <c r="C1012" s="22">
        <f t="shared" si="15"/>
        <v>-1.9585427069999999</v>
      </c>
    </row>
    <row r="1013" spans="1:3" x14ac:dyDescent="0.3">
      <c r="A1013" s="22">
        <v>-7.4000000000000001E-7</v>
      </c>
      <c r="B1013" s="22">
        <v>-2.2600502419999999E-3</v>
      </c>
      <c r="C1013" s="22">
        <f t="shared" si="15"/>
        <v>-2.2600502419999997</v>
      </c>
    </row>
    <row r="1014" spans="1:3" x14ac:dyDescent="0.3">
      <c r="A1014" s="22">
        <v>-7.3499999999999995E-7</v>
      </c>
      <c r="B1014" s="22">
        <v>-1.8580401959999999E-3</v>
      </c>
      <c r="C1014" s="22">
        <f t="shared" si="15"/>
        <v>-1.8580401959999999</v>
      </c>
    </row>
    <row r="1015" spans="1:3" x14ac:dyDescent="0.3">
      <c r="A1015" s="22">
        <v>-7.3E-7</v>
      </c>
      <c r="B1015" s="22">
        <v>-1.4560301499999999E-3</v>
      </c>
      <c r="C1015" s="22">
        <f t="shared" si="15"/>
        <v>-1.4560301499999999</v>
      </c>
    </row>
    <row r="1016" spans="1:3" x14ac:dyDescent="0.3">
      <c r="A1016" s="22">
        <v>-7.2500000000000005E-7</v>
      </c>
      <c r="B1016" s="22">
        <v>-2.963567822E-3</v>
      </c>
      <c r="C1016" s="22">
        <f t="shared" si="15"/>
        <v>-2.9635678219999999</v>
      </c>
    </row>
    <row r="1017" spans="1:3" x14ac:dyDescent="0.3">
      <c r="A1017" s="22">
        <v>-7.1999999999999999E-7</v>
      </c>
      <c r="B1017" s="22">
        <v>-2.6620602880000001E-3</v>
      </c>
      <c r="C1017" s="22">
        <f t="shared" si="15"/>
        <v>-2.6620602880000002</v>
      </c>
    </row>
    <row r="1018" spans="1:3" x14ac:dyDescent="0.3">
      <c r="A1018" s="22">
        <v>-7.1500000000000004E-7</v>
      </c>
      <c r="B1018" s="22">
        <v>-1.958542707E-3</v>
      </c>
      <c r="C1018" s="22">
        <f t="shared" si="15"/>
        <v>-1.9585427069999999</v>
      </c>
    </row>
    <row r="1019" spans="1:3" x14ac:dyDescent="0.3">
      <c r="A1019" s="22">
        <v>-7.0999999999999998E-7</v>
      </c>
      <c r="B1019" s="22">
        <v>-9.5351759199999999E-4</v>
      </c>
      <c r="C1019" s="22">
        <f t="shared" si="15"/>
        <v>-0.95351759199999997</v>
      </c>
    </row>
    <row r="1020" spans="1:3" x14ac:dyDescent="0.3">
      <c r="A1020" s="22">
        <v>-7.0500000000000003E-7</v>
      </c>
      <c r="B1020" s="22">
        <v>-3.5050252300000001E-4</v>
      </c>
      <c r="C1020" s="22">
        <f t="shared" si="15"/>
        <v>-0.35050252300000001</v>
      </c>
    </row>
    <row r="1021" spans="1:3" x14ac:dyDescent="0.3">
      <c r="A1021" s="22">
        <v>-6.9999999999999997E-7</v>
      </c>
      <c r="B1021" s="22">
        <v>-7.52512569E-4</v>
      </c>
      <c r="C1021" s="22">
        <f t="shared" si="15"/>
        <v>-0.75251256899999996</v>
      </c>
    </row>
    <row r="1022" spans="1:3" x14ac:dyDescent="0.3">
      <c r="A1022" s="22">
        <v>-6.9500000000000002E-7</v>
      </c>
      <c r="B1022" s="22">
        <v>-3.5050252300000001E-4</v>
      </c>
      <c r="C1022" s="22">
        <f t="shared" si="15"/>
        <v>-0.35050252300000001</v>
      </c>
    </row>
    <row r="1023" spans="1:3" x14ac:dyDescent="0.3">
      <c r="A1023" s="22">
        <v>-6.8999999999999996E-7</v>
      </c>
      <c r="B1023" s="22">
        <v>5.1507522999999997E-5</v>
      </c>
      <c r="C1023" s="22">
        <f t="shared" si="15"/>
        <v>5.1507523E-2</v>
      </c>
    </row>
    <row r="1024" spans="1:3" x14ac:dyDescent="0.3">
      <c r="A1024" s="22">
        <v>-6.8500000000000001E-7</v>
      </c>
      <c r="B1024" s="22">
        <v>1.1570351490000001E-3</v>
      </c>
      <c r="C1024" s="22">
        <f t="shared" si="15"/>
        <v>1.1570351490000002</v>
      </c>
    </row>
    <row r="1025" spans="1:3" x14ac:dyDescent="0.3">
      <c r="A1025" s="22">
        <v>-6.7999999999999995E-7</v>
      </c>
      <c r="B1025" s="22">
        <v>6.5452259199999996E-4</v>
      </c>
      <c r="C1025" s="22">
        <f t="shared" si="15"/>
        <v>0.65452259199999996</v>
      </c>
    </row>
    <row r="1026" spans="1:3" x14ac:dyDescent="0.3">
      <c r="A1026" s="22">
        <v>-6.75E-7</v>
      </c>
      <c r="B1026" s="22">
        <v>1.2575376599999999E-3</v>
      </c>
      <c r="C1026" s="22">
        <f t="shared" si="15"/>
        <v>1.2575376599999999</v>
      </c>
    </row>
    <row r="1027" spans="1:3" x14ac:dyDescent="0.3">
      <c r="A1027" s="22">
        <v>-6.7000000000000004E-7</v>
      </c>
      <c r="B1027" s="22">
        <v>1.358040172E-3</v>
      </c>
      <c r="C1027" s="22">
        <f t="shared" si="15"/>
        <v>1.3580401719999999</v>
      </c>
    </row>
    <row r="1028" spans="1:3" x14ac:dyDescent="0.3">
      <c r="A1028" s="22">
        <v>-6.6499999999999999E-7</v>
      </c>
      <c r="B1028" s="22">
        <v>5.5402008000000002E-4</v>
      </c>
      <c r="C1028" s="22">
        <f t="shared" ref="C1028:C1091" si="16">B1028*10^3</f>
        <v>0.55402008000000003</v>
      </c>
    </row>
    <row r="1029" spans="1:3" x14ac:dyDescent="0.3">
      <c r="A1029" s="22">
        <v>-6.6000000000000003E-7</v>
      </c>
      <c r="B1029" s="22">
        <v>9.56030126E-4</v>
      </c>
      <c r="C1029" s="22">
        <f t="shared" si="16"/>
        <v>0.95603012600000004</v>
      </c>
    </row>
    <row r="1030" spans="1:3" x14ac:dyDescent="0.3">
      <c r="A1030" s="22">
        <v>-6.5499999999999998E-7</v>
      </c>
      <c r="B1030" s="22">
        <v>4.5351756800000002E-4</v>
      </c>
      <c r="C1030" s="22">
        <f t="shared" si="16"/>
        <v>0.45351756800000004</v>
      </c>
    </row>
    <row r="1031" spans="1:3" x14ac:dyDescent="0.3">
      <c r="A1031" s="22">
        <v>-6.5000000000000002E-7</v>
      </c>
      <c r="B1031" s="22">
        <v>9.56030126E-4</v>
      </c>
      <c r="C1031" s="22">
        <f t="shared" si="16"/>
        <v>0.95603012600000004</v>
      </c>
    </row>
    <row r="1032" spans="1:3" x14ac:dyDescent="0.3">
      <c r="A1032" s="22">
        <v>-6.4499999999999997E-7</v>
      </c>
      <c r="B1032" s="22">
        <v>5.5402008000000002E-4</v>
      </c>
      <c r="C1032" s="22">
        <f t="shared" si="16"/>
        <v>0.55402008000000003</v>
      </c>
    </row>
    <row r="1033" spans="1:3" x14ac:dyDescent="0.3">
      <c r="A1033" s="22">
        <v>-6.4000000000000001E-7</v>
      </c>
      <c r="B1033" s="22">
        <v>5.5402008000000002E-4</v>
      </c>
      <c r="C1033" s="22">
        <f t="shared" si="16"/>
        <v>0.55402008000000003</v>
      </c>
    </row>
    <row r="1034" spans="1:3" x14ac:dyDescent="0.3">
      <c r="A1034" s="22">
        <v>-6.3499999999999996E-7</v>
      </c>
      <c r="B1034" s="22">
        <v>6.5452259199999996E-4</v>
      </c>
      <c r="C1034" s="22">
        <f t="shared" si="16"/>
        <v>0.65452259199999996</v>
      </c>
    </row>
    <row r="1035" spans="1:3" x14ac:dyDescent="0.3">
      <c r="A1035" s="22">
        <v>-6.3E-7</v>
      </c>
      <c r="B1035" s="22">
        <v>-1.4949749999999999E-4</v>
      </c>
      <c r="C1035" s="22">
        <f t="shared" si="16"/>
        <v>-0.14949749999999998</v>
      </c>
    </row>
    <row r="1036" spans="1:3" x14ac:dyDescent="0.3">
      <c r="A1036" s="22">
        <v>-6.2500000000000005E-7</v>
      </c>
      <c r="B1036" s="22">
        <v>-2.5000001200000001E-4</v>
      </c>
      <c r="C1036" s="22">
        <f t="shared" si="16"/>
        <v>-0.25000001199999999</v>
      </c>
    </row>
    <row r="1037" spans="1:3" x14ac:dyDescent="0.3">
      <c r="A1037" s="22">
        <v>-6.1999999999999999E-7</v>
      </c>
      <c r="B1037" s="22">
        <v>4.5351756800000002E-4</v>
      </c>
      <c r="C1037" s="22">
        <f t="shared" si="16"/>
        <v>0.45351756800000004</v>
      </c>
    </row>
    <row r="1038" spans="1:3" x14ac:dyDescent="0.3">
      <c r="A1038" s="22">
        <v>-6.1500000000000004E-7</v>
      </c>
      <c r="B1038" s="22">
        <v>-2.5000001200000001E-4</v>
      </c>
      <c r="C1038" s="22">
        <f t="shared" si="16"/>
        <v>-0.25000001199999999</v>
      </c>
    </row>
    <row r="1039" spans="1:3" x14ac:dyDescent="0.3">
      <c r="A1039" s="22">
        <v>-6.0999999999999998E-7</v>
      </c>
      <c r="B1039" s="22">
        <v>4.5351756800000002E-4</v>
      </c>
      <c r="C1039" s="22">
        <f t="shared" si="16"/>
        <v>0.45351756800000004</v>
      </c>
    </row>
    <row r="1040" spans="1:3" x14ac:dyDescent="0.3">
      <c r="A1040" s="22">
        <v>-6.0500000000000003E-7</v>
      </c>
      <c r="B1040" s="22">
        <v>5.5402008000000002E-4</v>
      </c>
      <c r="C1040" s="22">
        <f t="shared" si="16"/>
        <v>0.55402008000000003</v>
      </c>
    </row>
    <row r="1041" spans="1:3" x14ac:dyDescent="0.3">
      <c r="A1041" s="22">
        <v>-5.9999999999999997E-7</v>
      </c>
      <c r="B1041" s="22">
        <v>2.5251254600000002E-4</v>
      </c>
      <c r="C1041" s="22">
        <f t="shared" si="16"/>
        <v>0.252512546</v>
      </c>
    </row>
    <row r="1042" spans="1:3" x14ac:dyDescent="0.3">
      <c r="A1042" s="22">
        <v>-5.9500000000000002E-7</v>
      </c>
      <c r="B1042" s="22">
        <v>1.52010034E-4</v>
      </c>
      <c r="C1042" s="22">
        <f t="shared" si="16"/>
        <v>0.15201003400000002</v>
      </c>
    </row>
    <row r="1043" spans="1:3" x14ac:dyDescent="0.3">
      <c r="A1043" s="22">
        <v>-5.8999999999999996E-7</v>
      </c>
      <c r="B1043" s="22">
        <v>-6.5201005800000005E-4</v>
      </c>
      <c r="C1043" s="22">
        <f t="shared" si="16"/>
        <v>-0.652010058</v>
      </c>
    </row>
    <row r="1044" spans="1:3" x14ac:dyDescent="0.3">
      <c r="A1044" s="22">
        <v>-5.8500000000000001E-7</v>
      </c>
      <c r="B1044" s="22">
        <v>-1.0540201039999999E-3</v>
      </c>
      <c r="C1044" s="22">
        <f t="shared" si="16"/>
        <v>-1.0540201039999999</v>
      </c>
    </row>
    <row r="1045" spans="1:3" x14ac:dyDescent="0.3">
      <c r="A1045" s="22">
        <v>-5.7999999999999995E-7</v>
      </c>
      <c r="B1045" s="22">
        <v>-2.1595477300000001E-3</v>
      </c>
      <c r="C1045" s="22">
        <f t="shared" si="16"/>
        <v>-2.1595477299999999</v>
      </c>
    </row>
    <row r="1046" spans="1:3" x14ac:dyDescent="0.3">
      <c r="A1046" s="22">
        <v>-5.75E-7</v>
      </c>
      <c r="B1046" s="22">
        <v>-2.3605527530000002E-3</v>
      </c>
      <c r="C1046" s="22">
        <f t="shared" si="16"/>
        <v>-2.3605527530000003</v>
      </c>
    </row>
    <row r="1047" spans="1:3" x14ac:dyDescent="0.3">
      <c r="A1047" s="22">
        <v>-5.7000000000000005E-7</v>
      </c>
      <c r="B1047" s="22">
        <v>-1.958542707E-3</v>
      </c>
      <c r="C1047" s="22">
        <f t="shared" si="16"/>
        <v>-1.9585427069999999</v>
      </c>
    </row>
    <row r="1048" spans="1:3" x14ac:dyDescent="0.3">
      <c r="A1048" s="22">
        <v>-5.6499999999999999E-7</v>
      </c>
      <c r="B1048" s="22">
        <v>-1.8580401959999999E-3</v>
      </c>
      <c r="C1048" s="22">
        <f t="shared" si="16"/>
        <v>-1.8580401959999999</v>
      </c>
    </row>
    <row r="1049" spans="1:3" x14ac:dyDescent="0.3">
      <c r="A1049" s="22">
        <v>-5.6000000000000004E-7</v>
      </c>
      <c r="B1049" s="22">
        <v>-1.8580401959999999E-3</v>
      </c>
      <c r="C1049" s="22">
        <f t="shared" si="16"/>
        <v>-1.8580401959999999</v>
      </c>
    </row>
    <row r="1050" spans="1:3" x14ac:dyDescent="0.3">
      <c r="A1050" s="22">
        <v>-5.5499999999999998E-7</v>
      </c>
      <c r="B1050" s="22">
        <v>-1.4560301499999999E-3</v>
      </c>
      <c r="C1050" s="22">
        <f t="shared" si="16"/>
        <v>-1.4560301499999999</v>
      </c>
    </row>
    <row r="1051" spans="1:3" x14ac:dyDescent="0.3">
      <c r="A1051" s="22">
        <v>-5.5000000000000003E-7</v>
      </c>
      <c r="B1051" s="22">
        <v>-1.7575376840000001E-3</v>
      </c>
      <c r="C1051" s="22">
        <f t="shared" si="16"/>
        <v>-1.7575376840000001</v>
      </c>
    </row>
    <row r="1052" spans="1:3" x14ac:dyDescent="0.3">
      <c r="A1052" s="22">
        <v>-5.4499999999999997E-7</v>
      </c>
      <c r="B1052" s="22">
        <v>-3.1645728450000001E-3</v>
      </c>
      <c r="C1052" s="22">
        <f t="shared" si="16"/>
        <v>-3.1645728450000004</v>
      </c>
    </row>
    <row r="1053" spans="1:3" x14ac:dyDescent="0.3">
      <c r="A1053" s="22">
        <v>-5.4000000000000002E-7</v>
      </c>
      <c r="B1053" s="22">
        <v>-2.2600502419999999E-3</v>
      </c>
      <c r="C1053" s="22">
        <f t="shared" si="16"/>
        <v>-2.2600502419999997</v>
      </c>
    </row>
    <row r="1054" spans="1:3" x14ac:dyDescent="0.3">
      <c r="A1054" s="22">
        <v>-5.3499999999999996E-7</v>
      </c>
      <c r="B1054" s="22">
        <v>-1.556532661E-3</v>
      </c>
      <c r="C1054" s="22">
        <f t="shared" si="16"/>
        <v>-1.5565326609999999</v>
      </c>
    </row>
    <row r="1055" spans="1:3" x14ac:dyDescent="0.3">
      <c r="A1055" s="22">
        <v>-5.3000000000000001E-7</v>
      </c>
      <c r="B1055" s="22">
        <v>-1.4560301499999999E-3</v>
      </c>
      <c r="C1055" s="22">
        <f t="shared" si="16"/>
        <v>-1.4560301499999999</v>
      </c>
    </row>
    <row r="1056" spans="1:3" x14ac:dyDescent="0.3">
      <c r="A1056" s="22">
        <v>-5.2499999999999995E-7</v>
      </c>
      <c r="B1056" s="22">
        <v>-1.3555276380000001E-3</v>
      </c>
      <c r="C1056" s="22">
        <f t="shared" si="16"/>
        <v>-1.3555276380000001</v>
      </c>
    </row>
    <row r="1057" spans="1:3" x14ac:dyDescent="0.3">
      <c r="A1057" s="22">
        <v>-5.2E-7</v>
      </c>
      <c r="B1057" s="22">
        <v>-1.8580401959999999E-3</v>
      </c>
      <c r="C1057" s="22">
        <f t="shared" si="16"/>
        <v>-1.8580401959999999</v>
      </c>
    </row>
    <row r="1058" spans="1:3" x14ac:dyDescent="0.3">
      <c r="A1058" s="22">
        <v>-5.1500000000000005E-7</v>
      </c>
      <c r="B1058" s="22">
        <v>-2.1595477300000001E-3</v>
      </c>
      <c r="C1058" s="22">
        <f t="shared" si="16"/>
        <v>-2.1595477299999999</v>
      </c>
    </row>
    <row r="1059" spans="1:3" x14ac:dyDescent="0.3">
      <c r="A1059" s="22">
        <v>-5.0999999999999999E-7</v>
      </c>
      <c r="B1059" s="22">
        <v>-1.8580401959999999E-3</v>
      </c>
      <c r="C1059" s="22">
        <f t="shared" si="16"/>
        <v>-1.8580401959999999</v>
      </c>
    </row>
    <row r="1060" spans="1:3" x14ac:dyDescent="0.3">
      <c r="A1060" s="22">
        <v>-5.0500000000000004E-7</v>
      </c>
      <c r="B1060" s="22">
        <v>-6.5201005800000005E-4</v>
      </c>
      <c r="C1060" s="22">
        <f t="shared" si="16"/>
        <v>-0.652010058</v>
      </c>
    </row>
    <row r="1061" spans="1:3" x14ac:dyDescent="0.3">
      <c r="A1061" s="22">
        <v>-4.9999999999999998E-7</v>
      </c>
      <c r="B1061" s="22">
        <v>-6.5201005800000005E-4</v>
      </c>
      <c r="C1061" s="22">
        <f t="shared" si="16"/>
        <v>-0.652010058</v>
      </c>
    </row>
    <row r="1062" spans="1:3" x14ac:dyDescent="0.3">
      <c r="A1062" s="22">
        <v>-4.9500000000000003E-7</v>
      </c>
      <c r="B1062" s="22">
        <v>-1.556532661E-3</v>
      </c>
      <c r="C1062" s="22">
        <f t="shared" si="16"/>
        <v>-1.5565326609999999</v>
      </c>
    </row>
    <row r="1063" spans="1:3" x14ac:dyDescent="0.3">
      <c r="A1063" s="22">
        <v>-4.8999999999999997E-7</v>
      </c>
      <c r="B1063" s="22">
        <v>-1.0540201039999999E-3</v>
      </c>
      <c r="C1063" s="22">
        <f t="shared" si="16"/>
        <v>-1.0540201039999999</v>
      </c>
    </row>
    <row r="1064" spans="1:3" x14ac:dyDescent="0.3">
      <c r="A1064" s="22">
        <v>-4.8500000000000002E-7</v>
      </c>
      <c r="B1064" s="22">
        <v>-6.5201005800000005E-4</v>
      </c>
      <c r="C1064" s="22">
        <f t="shared" si="16"/>
        <v>-0.652010058</v>
      </c>
    </row>
    <row r="1065" spans="1:3" x14ac:dyDescent="0.3">
      <c r="A1065" s="22">
        <v>-4.7999999999999996E-7</v>
      </c>
      <c r="B1065" s="22">
        <v>-3.5050252300000001E-4</v>
      </c>
      <c r="C1065" s="22">
        <f t="shared" si="16"/>
        <v>-0.35050252300000001</v>
      </c>
    </row>
    <row r="1066" spans="1:3" x14ac:dyDescent="0.3">
      <c r="A1066" s="22">
        <v>-4.75E-7</v>
      </c>
      <c r="B1066" s="22">
        <v>-6.5201005800000005E-4</v>
      </c>
      <c r="C1066" s="22">
        <f t="shared" si="16"/>
        <v>-0.652010058</v>
      </c>
    </row>
    <row r="1067" spans="1:3" x14ac:dyDescent="0.3">
      <c r="A1067" s="22">
        <v>-4.7E-7</v>
      </c>
      <c r="B1067" s="22">
        <v>-3.5050252300000001E-4</v>
      </c>
      <c r="C1067" s="22">
        <f t="shared" si="16"/>
        <v>-0.35050252300000001</v>
      </c>
    </row>
    <row r="1068" spans="1:3" x14ac:dyDescent="0.3">
      <c r="A1068" s="22">
        <v>-4.6499999999999999E-7</v>
      </c>
      <c r="B1068" s="22">
        <v>-9.5351759199999999E-4</v>
      </c>
      <c r="C1068" s="22">
        <f t="shared" si="16"/>
        <v>-0.95351759199999997</v>
      </c>
    </row>
    <row r="1069" spans="1:3" x14ac:dyDescent="0.3">
      <c r="A1069" s="22">
        <v>-4.5999999999999999E-7</v>
      </c>
      <c r="B1069" s="22">
        <v>-1.154522615E-3</v>
      </c>
      <c r="C1069" s="22">
        <f t="shared" si="16"/>
        <v>-1.1545226150000001</v>
      </c>
    </row>
    <row r="1070" spans="1:3" x14ac:dyDescent="0.3">
      <c r="A1070" s="22">
        <v>-4.5499999999999998E-7</v>
      </c>
      <c r="B1070" s="22">
        <v>-2.5000001200000001E-4</v>
      </c>
      <c r="C1070" s="22">
        <f t="shared" si="16"/>
        <v>-0.25000001199999999</v>
      </c>
    </row>
    <row r="1071" spans="1:3" x14ac:dyDescent="0.3">
      <c r="A1071" s="22">
        <v>-4.4999999999999998E-7</v>
      </c>
      <c r="B1071" s="22">
        <v>-3.5050252300000001E-4</v>
      </c>
      <c r="C1071" s="22">
        <f t="shared" si="16"/>
        <v>-0.35050252300000001</v>
      </c>
    </row>
    <row r="1072" spans="1:3" x14ac:dyDescent="0.3">
      <c r="A1072" s="22">
        <v>-4.4499999999999997E-7</v>
      </c>
      <c r="B1072" s="22">
        <v>5.1507522999999997E-5</v>
      </c>
      <c r="C1072" s="22">
        <f t="shared" si="16"/>
        <v>5.1507523E-2</v>
      </c>
    </row>
    <row r="1073" spans="1:3" x14ac:dyDescent="0.3">
      <c r="A1073" s="22">
        <v>-4.4000000000000002E-7</v>
      </c>
      <c r="B1073" s="22">
        <v>2.5251254600000002E-4</v>
      </c>
      <c r="C1073" s="22">
        <f t="shared" si="16"/>
        <v>0.252512546</v>
      </c>
    </row>
    <row r="1074" spans="1:3" x14ac:dyDescent="0.3">
      <c r="A1074" s="22">
        <v>-4.3500000000000002E-7</v>
      </c>
      <c r="B1074" s="22">
        <v>-6.5201005800000005E-4</v>
      </c>
      <c r="C1074" s="22">
        <f t="shared" si="16"/>
        <v>-0.652010058</v>
      </c>
    </row>
    <row r="1075" spans="1:3" x14ac:dyDescent="0.3">
      <c r="A1075" s="22">
        <v>-4.3000000000000001E-7</v>
      </c>
      <c r="B1075" s="22">
        <v>-8.5301508100000005E-4</v>
      </c>
      <c r="C1075" s="22">
        <f t="shared" si="16"/>
        <v>-0.85301508100000001</v>
      </c>
    </row>
    <row r="1076" spans="1:3" x14ac:dyDescent="0.3">
      <c r="A1076" s="22">
        <v>-4.2500000000000001E-7</v>
      </c>
      <c r="B1076" s="22">
        <v>-4.5100503500000001E-4</v>
      </c>
      <c r="C1076" s="22">
        <f t="shared" si="16"/>
        <v>-0.451005035</v>
      </c>
    </row>
    <row r="1077" spans="1:3" x14ac:dyDescent="0.3">
      <c r="A1077" s="22">
        <v>-4.2E-7</v>
      </c>
      <c r="B1077" s="22">
        <v>-1.4560301499999999E-3</v>
      </c>
      <c r="C1077" s="22">
        <f t="shared" si="16"/>
        <v>-1.4560301499999999</v>
      </c>
    </row>
    <row r="1078" spans="1:3" x14ac:dyDescent="0.3">
      <c r="A1078" s="22">
        <v>-4.15E-7</v>
      </c>
      <c r="B1078" s="22">
        <v>-2.1595477300000001E-3</v>
      </c>
      <c r="C1078" s="22">
        <f t="shared" si="16"/>
        <v>-2.1595477299999999</v>
      </c>
    </row>
    <row r="1079" spans="1:3" x14ac:dyDescent="0.3">
      <c r="A1079" s="22">
        <v>-4.0999999999999999E-7</v>
      </c>
      <c r="B1079" s="22">
        <v>-2.2600502419999999E-3</v>
      </c>
      <c r="C1079" s="22">
        <f t="shared" si="16"/>
        <v>-2.2600502419999997</v>
      </c>
    </row>
    <row r="1080" spans="1:3" x14ac:dyDescent="0.3">
      <c r="A1080" s="22">
        <v>-4.0499999999999999E-7</v>
      </c>
      <c r="B1080" s="22">
        <v>-7.52512569E-4</v>
      </c>
      <c r="C1080" s="22">
        <f t="shared" si="16"/>
        <v>-0.75251256899999996</v>
      </c>
    </row>
    <row r="1081" spans="1:3" x14ac:dyDescent="0.3">
      <c r="A1081" s="22">
        <v>-3.9999999999999998E-7</v>
      </c>
      <c r="B1081" s="22">
        <v>-1.0540201039999999E-3</v>
      </c>
      <c r="C1081" s="22">
        <f t="shared" si="16"/>
        <v>-1.0540201039999999</v>
      </c>
    </row>
    <row r="1082" spans="1:3" x14ac:dyDescent="0.3">
      <c r="A1082" s="22">
        <v>-3.9499999999999998E-7</v>
      </c>
      <c r="B1082" s="22">
        <v>-1.0540201039999999E-3</v>
      </c>
      <c r="C1082" s="22">
        <f t="shared" si="16"/>
        <v>-1.0540201039999999</v>
      </c>
    </row>
    <row r="1083" spans="1:3" x14ac:dyDescent="0.3">
      <c r="A1083" s="22">
        <v>-3.9000000000000002E-7</v>
      </c>
      <c r="B1083" s="22">
        <v>-9.5351759199999999E-4</v>
      </c>
      <c r="C1083" s="22">
        <f t="shared" si="16"/>
        <v>-0.95351759199999997</v>
      </c>
    </row>
    <row r="1084" spans="1:3" x14ac:dyDescent="0.3">
      <c r="A1084" s="22">
        <v>-3.8500000000000002E-7</v>
      </c>
      <c r="B1084" s="22">
        <v>-4.5100503500000001E-4</v>
      </c>
      <c r="C1084" s="22">
        <f t="shared" si="16"/>
        <v>-0.451005035</v>
      </c>
    </row>
    <row r="1085" spans="1:3" x14ac:dyDescent="0.3">
      <c r="A1085" s="22">
        <v>-3.8000000000000001E-7</v>
      </c>
      <c r="B1085" s="22">
        <v>-1.0540201039999999E-3</v>
      </c>
      <c r="C1085" s="22">
        <f t="shared" si="16"/>
        <v>-1.0540201039999999</v>
      </c>
    </row>
    <row r="1086" spans="1:3" x14ac:dyDescent="0.3">
      <c r="A1086" s="22">
        <v>-3.7500000000000001E-7</v>
      </c>
      <c r="B1086" s="22">
        <v>-3.5050252300000001E-4</v>
      </c>
      <c r="C1086" s="22">
        <f t="shared" si="16"/>
        <v>-0.35050252300000001</v>
      </c>
    </row>
    <row r="1087" spans="1:3" x14ac:dyDescent="0.3">
      <c r="A1087" s="22">
        <v>-3.7E-7</v>
      </c>
      <c r="B1087" s="22">
        <v>-1.4560301499999999E-3</v>
      </c>
      <c r="C1087" s="22">
        <f t="shared" si="16"/>
        <v>-1.4560301499999999</v>
      </c>
    </row>
    <row r="1088" spans="1:3" x14ac:dyDescent="0.3">
      <c r="A1088" s="22">
        <v>-3.65E-7</v>
      </c>
      <c r="B1088" s="22">
        <v>-1.4560301499999999E-3</v>
      </c>
      <c r="C1088" s="22">
        <f t="shared" si="16"/>
        <v>-1.4560301499999999</v>
      </c>
    </row>
    <row r="1089" spans="1:3" x14ac:dyDescent="0.3">
      <c r="A1089" s="22">
        <v>-3.5999999999999999E-7</v>
      </c>
      <c r="B1089" s="22">
        <v>-2.1595477300000001E-3</v>
      </c>
      <c r="C1089" s="22">
        <f t="shared" si="16"/>
        <v>-2.1595477299999999</v>
      </c>
    </row>
    <row r="1090" spans="1:3" x14ac:dyDescent="0.3">
      <c r="A1090" s="22">
        <v>-3.5499999999999999E-7</v>
      </c>
      <c r="B1090" s="22">
        <v>-1.7575376840000001E-3</v>
      </c>
      <c r="C1090" s="22">
        <f t="shared" si="16"/>
        <v>-1.7575376840000001</v>
      </c>
    </row>
    <row r="1091" spans="1:3" x14ac:dyDescent="0.3">
      <c r="A1091" s="22">
        <v>-3.4999999999999998E-7</v>
      </c>
      <c r="B1091" s="22">
        <v>-6.5201005800000005E-4</v>
      </c>
      <c r="C1091" s="22">
        <f t="shared" si="16"/>
        <v>-0.652010058</v>
      </c>
    </row>
    <row r="1092" spans="1:3" x14ac:dyDescent="0.3">
      <c r="A1092" s="22">
        <v>-3.4499999999999998E-7</v>
      </c>
      <c r="B1092" s="22">
        <v>-6.5201005800000005E-4</v>
      </c>
      <c r="C1092" s="22">
        <f t="shared" ref="C1092:C1155" si="17">B1092*10^3</f>
        <v>-0.652010058</v>
      </c>
    </row>
    <row r="1093" spans="1:3" x14ac:dyDescent="0.3">
      <c r="A1093" s="22">
        <v>-3.3999999999999997E-7</v>
      </c>
      <c r="B1093" s="22">
        <v>-6.5201005800000005E-4</v>
      </c>
      <c r="C1093" s="22">
        <f t="shared" si="17"/>
        <v>-0.652010058</v>
      </c>
    </row>
    <row r="1094" spans="1:3" x14ac:dyDescent="0.3">
      <c r="A1094" s="22">
        <v>-3.3500000000000002E-7</v>
      </c>
      <c r="B1094" s="22">
        <v>-2.5000001200000001E-4</v>
      </c>
      <c r="C1094" s="22">
        <f t="shared" si="17"/>
        <v>-0.25000001199999999</v>
      </c>
    </row>
    <row r="1095" spans="1:3" x14ac:dyDescent="0.3">
      <c r="A1095" s="22">
        <v>-3.3000000000000002E-7</v>
      </c>
      <c r="B1095" s="22">
        <v>1.52010034E-4</v>
      </c>
      <c r="C1095" s="22">
        <f t="shared" si="17"/>
        <v>0.15201003400000002</v>
      </c>
    </row>
    <row r="1096" spans="1:3" x14ac:dyDescent="0.3">
      <c r="A1096" s="22">
        <v>-3.2500000000000001E-7</v>
      </c>
      <c r="B1096" s="22">
        <v>1.52010034E-4</v>
      </c>
      <c r="C1096" s="22">
        <f t="shared" si="17"/>
        <v>0.15201003400000002</v>
      </c>
    </row>
    <row r="1097" spans="1:3" x14ac:dyDescent="0.3">
      <c r="A1097" s="22">
        <v>-3.2000000000000001E-7</v>
      </c>
      <c r="B1097" s="22">
        <v>1.52010034E-4</v>
      </c>
      <c r="C1097" s="22">
        <f t="shared" si="17"/>
        <v>0.15201003400000002</v>
      </c>
    </row>
    <row r="1098" spans="1:3" x14ac:dyDescent="0.3">
      <c r="A1098" s="22">
        <v>-3.15E-7</v>
      </c>
      <c r="B1098" s="22">
        <v>5.1507522999999997E-5</v>
      </c>
      <c r="C1098" s="22">
        <f t="shared" si="17"/>
        <v>5.1507523E-2</v>
      </c>
    </row>
    <row r="1099" spans="1:3" x14ac:dyDescent="0.3">
      <c r="A1099" s="22">
        <v>-3.1E-7</v>
      </c>
      <c r="B1099" s="22">
        <v>9.56030126E-4</v>
      </c>
      <c r="C1099" s="22">
        <f t="shared" si="17"/>
        <v>0.95603012600000004</v>
      </c>
    </row>
    <row r="1100" spans="1:3" x14ac:dyDescent="0.3">
      <c r="A1100" s="22">
        <v>-3.0499999999999999E-7</v>
      </c>
      <c r="B1100" s="22">
        <v>8.5552761399999996E-4</v>
      </c>
      <c r="C1100" s="22">
        <f t="shared" si="17"/>
        <v>0.85552761399999999</v>
      </c>
    </row>
    <row r="1101" spans="1:3" x14ac:dyDescent="0.3">
      <c r="A1101" s="22">
        <v>-2.9999999999999999E-7</v>
      </c>
      <c r="B1101" s="22">
        <v>9.56030126E-4</v>
      </c>
      <c r="C1101" s="22">
        <f t="shared" si="17"/>
        <v>0.95603012600000004</v>
      </c>
    </row>
    <row r="1102" spans="1:3" x14ac:dyDescent="0.3">
      <c r="A1102" s="22">
        <v>-2.9499999999999998E-7</v>
      </c>
      <c r="B1102" s="22">
        <v>1.52010034E-4</v>
      </c>
      <c r="C1102" s="22">
        <f t="shared" si="17"/>
        <v>0.15201003400000002</v>
      </c>
    </row>
    <row r="1103" spans="1:3" x14ac:dyDescent="0.3">
      <c r="A1103" s="22">
        <v>-2.8999999999999998E-7</v>
      </c>
      <c r="B1103" s="22">
        <v>-1.4949749999999999E-4</v>
      </c>
      <c r="C1103" s="22">
        <f t="shared" si="17"/>
        <v>-0.14949749999999998</v>
      </c>
    </row>
    <row r="1104" spans="1:3" x14ac:dyDescent="0.3">
      <c r="A1104" s="22">
        <v>-2.8500000000000002E-7</v>
      </c>
      <c r="B1104" s="22">
        <v>-1.3555276380000001E-3</v>
      </c>
      <c r="C1104" s="22">
        <f t="shared" si="17"/>
        <v>-1.3555276380000001</v>
      </c>
    </row>
    <row r="1105" spans="1:3" x14ac:dyDescent="0.3">
      <c r="A1105" s="22">
        <v>-2.8000000000000002E-7</v>
      </c>
      <c r="B1105" s="22">
        <v>-1.0540201039999999E-3</v>
      </c>
      <c r="C1105" s="22">
        <f t="shared" si="17"/>
        <v>-1.0540201039999999</v>
      </c>
    </row>
    <row r="1106" spans="1:3" x14ac:dyDescent="0.3">
      <c r="A1106" s="22">
        <v>-2.7500000000000001E-7</v>
      </c>
      <c r="B1106" s="22">
        <v>-9.5351759199999999E-4</v>
      </c>
      <c r="C1106" s="22">
        <f t="shared" si="17"/>
        <v>-0.95351759199999997</v>
      </c>
    </row>
    <row r="1107" spans="1:3" x14ac:dyDescent="0.3">
      <c r="A1107" s="22">
        <v>-2.7000000000000001E-7</v>
      </c>
      <c r="B1107" s="22">
        <v>-2.5000001200000001E-4</v>
      </c>
      <c r="C1107" s="22">
        <f t="shared" si="17"/>
        <v>-0.25000001199999999</v>
      </c>
    </row>
    <row r="1108" spans="1:3" x14ac:dyDescent="0.3">
      <c r="A1108" s="22">
        <v>-2.65E-7</v>
      </c>
      <c r="B1108" s="22">
        <v>-2.5000001200000001E-4</v>
      </c>
      <c r="C1108" s="22">
        <f t="shared" si="17"/>
        <v>-0.25000001199999999</v>
      </c>
    </row>
    <row r="1109" spans="1:3" x14ac:dyDescent="0.3">
      <c r="A1109" s="22">
        <v>-2.6E-7</v>
      </c>
      <c r="B1109" s="22">
        <v>-8.5301508100000005E-4</v>
      </c>
      <c r="C1109" s="22">
        <f t="shared" si="17"/>
        <v>-0.85301508100000001</v>
      </c>
    </row>
    <row r="1110" spans="1:3" x14ac:dyDescent="0.3">
      <c r="A1110" s="22">
        <v>-2.5499999999999999E-7</v>
      </c>
      <c r="B1110" s="22">
        <v>-6.5201005800000005E-4</v>
      </c>
      <c r="C1110" s="22">
        <f t="shared" si="17"/>
        <v>-0.652010058</v>
      </c>
    </row>
    <row r="1111" spans="1:3" x14ac:dyDescent="0.3">
      <c r="A1111" s="22">
        <v>-2.4999999999999999E-7</v>
      </c>
      <c r="B1111" s="22">
        <v>-1.0540201039999999E-3</v>
      </c>
      <c r="C1111" s="22">
        <f t="shared" si="17"/>
        <v>-1.0540201039999999</v>
      </c>
    </row>
    <row r="1112" spans="1:3" x14ac:dyDescent="0.3">
      <c r="A1112" s="22">
        <v>-2.4499999999999998E-7</v>
      </c>
      <c r="B1112" s="22">
        <v>-1.3555276380000001E-3</v>
      </c>
      <c r="C1112" s="22">
        <f t="shared" si="17"/>
        <v>-1.3555276380000001</v>
      </c>
    </row>
    <row r="1113" spans="1:3" x14ac:dyDescent="0.3">
      <c r="A1113" s="22">
        <v>-2.3999999999999998E-7</v>
      </c>
      <c r="B1113" s="22">
        <v>-1.7575376840000001E-3</v>
      </c>
      <c r="C1113" s="22">
        <f t="shared" si="17"/>
        <v>-1.7575376840000001</v>
      </c>
    </row>
    <row r="1114" spans="1:3" x14ac:dyDescent="0.3">
      <c r="A1114" s="22">
        <v>-2.35E-7</v>
      </c>
      <c r="B1114" s="22">
        <v>-1.8580401959999999E-3</v>
      </c>
      <c r="C1114" s="22">
        <f t="shared" si="17"/>
        <v>-1.8580401959999999</v>
      </c>
    </row>
    <row r="1115" spans="1:3" x14ac:dyDescent="0.3">
      <c r="A1115" s="22">
        <v>-2.2999999999999999E-7</v>
      </c>
      <c r="B1115" s="22">
        <v>-1.8580401959999999E-3</v>
      </c>
      <c r="C1115" s="22">
        <f t="shared" si="17"/>
        <v>-1.8580401959999999</v>
      </c>
    </row>
    <row r="1116" spans="1:3" x14ac:dyDescent="0.3">
      <c r="A1116" s="22">
        <v>-2.2499999999999999E-7</v>
      </c>
      <c r="B1116" s="22">
        <v>-2.7625627989999999E-3</v>
      </c>
      <c r="C1116" s="22">
        <f t="shared" si="17"/>
        <v>-2.7625627989999999</v>
      </c>
    </row>
    <row r="1117" spans="1:3" x14ac:dyDescent="0.3">
      <c r="A1117" s="22">
        <v>-2.2000000000000001E-7</v>
      </c>
      <c r="B1117" s="22">
        <v>-3.0640703329999999E-3</v>
      </c>
      <c r="C1117" s="22">
        <f t="shared" si="17"/>
        <v>-3.0640703330000001</v>
      </c>
    </row>
    <row r="1118" spans="1:3" x14ac:dyDescent="0.3">
      <c r="A1118" s="22">
        <v>-2.1500000000000001E-7</v>
      </c>
      <c r="B1118" s="22">
        <v>-3.9685929370000001E-3</v>
      </c>
      <c r="C1118" s="22">
        <f t="shared" si="17"/>
        <v>-3.9685929369999999</v>
      </c>
    </row>
    <row r="1119" spans="1:3" x14ac:dyDescent="0.3">
      <c r="A1119" s="22">
        <v>-2.1E-7</v>
      </c>
      <c r="B1119" s="22">
        <v>-3.5665828909999999E-3</v>
      </c>
      <c r="C1119" s="22">
        <f t="shared" si="17"/>
        <v>-3.5665828909999999</v>
      </c>
    </row>
    <row r="1120" spans="1:3" x14ac:dyDescent="0.3">
      <c r="A1120" s="22">
        <v>-2.05E-7</v>
      </c>
      <c r="B1120" s="22">
        <v>-3.1645728450000001E-3</v>
      </c>
      <c r="C1120" s="22">
        <f t="shared" si="17"/>
        <v>-3.1645728450000004</v>
      </c>
    </row>
    <row r="1121" spans="1:3" x14ac:dyDescent="0.3">
      <c r="A1121" s="22">
        <v>-1.9999999999999999E-7</v>
      </c>
      <c r="B1121" s="22">
        <v>-3.5665828909999999E-3</v>
      </c>
      <c r="C1121" s="22">
        <f t="shared" si="17"/>
        <v>-3.5665828909999999</v>
      </c>
    </row>
    <row r="1122" spans="1:3" x14ac:dyDescent="0.3">
      <c r="A1122" s="22">
        <v>-1.9500000000000001E-7</v>
      </c>
      <c r="B1122" s="22">
        <v>-3.4660803790000001E-3</v>
      </c>
      <c r="C1122" s="22">
        <f t="shared" si="17"/>
        <v>-3.4660803790000001</v>
      </c>
    </row>
    <row r="1123" spans="1:3" x14ac:dyDescent="0.3">
      <c r="A1123" s="22">
        <v>-1.9000000000000001E-7</v>
      </c>
      <c r="B1123" s="22">
        <v>-3.3655778679999998E-3</v>
      </c>
      <c r="C1123" s="22">
        <f t="shared" si="17"/>
        <v>-3.3655778679999999</v>
      </c>
    </row>
    <row r="1124" spans="1:3" x14ac:dyDescent="0.3">
      <c r="A1124" s="22">
        <v>-1.85E-7</v>
      </c>
      <c r="B1124" s="22">
        <v>-3.1645728450000001E-3</v>
      </c>
      <c r="C1124" s="22">
        <f t="shared" si="17"/>
        <v>-3.1645728450000004</v>
      </c>
    </row>
    <row r="1125" spans="1:3" x14ac:dyDescent="0.3">
      <c r="A1125" s="22">
        <v>-1.8E-7</v>
      </c>
      <c r="B1125" s="22">
        <v>-2.5615577759999998E-3</v>
      </c>
      <c r="C1125" s="22">
        <f t="shared" si="17"/>
        <v>-2.5615577759999999</v>
      </c>
    </row>
    <row r="1126" spans="1:3" x14ac:dyDescent="0.3">
      <c r="A1126" s="22">
        <v>-1.7499999999999999E-7</v>
      </c>
      <c r="B1126" s="22">
        <v>-3.8680904249999998E-3</v>
      </c>
      <c r="C1126" s="22">
        <f t="shared" si="17"/>
        <v>-3.8680904249999997</v>
      </c>
    </row>
    <row r="1127" spans="1:3" x14ac:dyDescent="0.3">
      <c r="A1127" s="22">
        <v>-1.6999999999999999E-7</v>
      </c>
      <c r="B1127" s="22">
        <v>-2.2600502419999999E-3</v>
      </c>
      <c r="C1127" s="22">
        <f t="shared" si="17"/>
        <v>-2.2600502419999997</v>
      </c>
    </row>
    <row r="1128" spans="1:3" x14ac:dyDescent="0.3">
      <c r="A1128" s="22">
        <v>-1.6500000000000001E-7</v>
      </c>
      <c r="B1128" s="22">
        <v>-3.0640703329999999E-3</v>
      </c>
      <c r="C1128" s="22">
        <f t="shared" si="17"/>
        <v>-3.0640703330000001</v>
      </c>
    </row>
    <row r="1129" spans="1:3" x14ac:dyDescent="0.3">
      <c r="A1129" s="22">
        <v>-1.6E-7</v>
      </c>
      <c r="B1129" s="22">
        <v>-2.6620602880000001E-3</v>
      </c>
      <c r="C1129" s="22">
        <f t="shared" si="17"/>
        <v>-2.6620602880000002</v>
      </c>
    </row>
    <row r="1130" spans="1:3" x14ac:dyDescent="0.3">
      <c r="A1130" s="22">
        <v>-1.55E-7</v>
      </c>
      <c r="B1130" s="22">
        <v>-1.556532661E-3</v>
      </c>
      <c r="C1130" s="22">
        <f t="shared" si="17"/>
        <v>-1.5565326609999999</v>
      </c>
    </row>
    <row r="1131" spans="1:3" x14ac:dyDescent="0.3">
      <c r="A1131" s="22">
        <v>-1.4999999999999999E-7</v>
      </c>
      <c r="B1131" s="22">
        <v>-1.8580401959999999E-3</v>
      </c>
      <c r="C1131" s="22">
        <f t="shared" si="17"/>
        <v>-1.8580401959999999</v>
      </c>
    </row>
    <row r="1132" spans="1:3" x14ac:dyDescent="0.3">
      <c r="A1132" s="22">
        <v>-1.4499999999999999E-7</v>
      </c>
      <c r="B1132" s="22">
        <v>-1.958542707E-3</v>
      </c>
      <c r="C1132" s="22">
        <f t="shared" si="17"/>
        <v>-1.9585427069999999</v>
      </c>
    </row>
    <row r="1133" spans="1:3" x14ac:dyDescent="0.3">
      <c r="A1133" s="22">
        <v>-1.4000000000000001E-7</v>
      </c>
      <c r="B1133" s="22">
        <v>-1.4560301499999999E-3</v>
      </c>
      <c r="C1133" s="22">
        <f t="shared" si="17"/>
        <v>-1.4560301499999999</v>
      </c>
    </row>
    <row r="1134" spans="1:3" x14ac:dyDescent="0.3">
      <c r="A1134" s="22">
        <v>-1.35E-7</v>
      </c>
      <c r="B1134" s="22">
        <v>-1.657035173E-3</v>
      </c>
      <c r="C1134" s="22">
        <f t="shared" si="17"/>
        <v>-1.6570351729999999</v>
      </c>
    </row>
    <row r="1135" spans="1:3" x14ac:dyDescent="0.3">
      <c r="A1135" s="22">
        <v>-1.3E-7</v>
      </c>
      <c r="B1135" s="22">
        <v>-6.5201005800000005E-4</v>
      </c>
      <c r="C1135" s="22">
        <f t="shared" si="17"/>
        <v>-0.652010058</v>
      </c>
    </row>
    <row r="1136" spans="1:3" x14ac:dyDescent="0.3">
      <c r="A1136" s="22">
        <v>-1.2499999999999999E-7</v>
      </c>
      <c r="B1136" s="22">
        <v>-1.0540201039999999E-3</v>
      </c>
      <c r="C1136" s="22">
        <f t="shared" si="17"/>
        <v>-1.0540201039999999</v>
      </c>
    </row>
    <row r="1137" spans="1:3" x14ac:dyDescent="0.3">
      <c r="A1137" s="22">
        <v>-1.1999999999999999E-7</v>
      </c>
      <c r="B1137" s="22">
        <v>-1.0540201039999999E-3</v>
      </c>
      <c r="C1137" s="22">
        <f t="shared" si="17"/>
        <v>-1.0540201039999999</v>
      </c>
    </row>
    <row r="1138" spans="1:3" x14ac:dyDescent="0.3">
      <c r="A1138" s="22">
        <v>-1.15E-7</v>
      </c>
      <c r="B1138" s="22">
        <v>-1.4560301499999999E-3</v>
      </c>
      <c r="C1138" s="22">
        <f t="shared" si="17"/>
        <v>-1.4560301499999999</v>
      </c>
    </row>
    <row r="1139" spans="1:3" x14ac:dyDescent="0.3">
      <c r="A1139" s="22">
        <v>-1.1000000000000001E-7</v>
      </c>
      <c r="B1139" s="22">
        <v>-1.7575376840000001E-3</v>
      </c>
      <c r="C1139" s="22">
        <f t="shared" si="17"/>
        <v>-1.7575376840000001</v>
      </c>
    </row>
    <row r="1140" spans="1:3" x14ac:dyDescent="0.3">
      <c r="A1140" s="22">
        <v>-1.05E-7</v>
      </c>
      <c r="B1140" s="22">
        <v>-1.154522615E-3</v>
      </c>
      <c r="C1140" s="22">
        <f t="shared" si="17"/>
        <v>-1.1545226150000001</v>
      </c>
    </row>
    <row r="1141" spans="1:3" x14ac:dyDescent="0.3">
      <c r="A1141" s="22">
        <v>-9.9999999999999995E-8</v>
      </c>
      <c r="B1141" s="22">
        <v>-1.154522615E-3</v>
      </c>
      <c r="C1141" s="22">
        <f t="shared" si="17"/>
        <v>-1.1545226150000001</v>
      </c>
    </row>
    <row r="1142" spans="1:3" x14ac:dyDescent="0.3">
      <c r="A1142" s="22">
        <v>-9.5000000000000004E-8</v>
      </c>
      <c r="B1142" s="22">
        <v>-1.8580401959999999E-3</v>
      </c>
      <c r="C1142" s="22">
        <f t="shared" si="17"/>
        <v>-1.8580401959999999</v>
      </c>
    </row>
    <row r="1143" spans="1:3" x14ac:dyDescent="0.3">
      <c r="A1143" s="22">
        <v>-8.9999999999999999E-8</v>
      </c>
      <c r="B1143" s="22">
        <v>-1.154522615E-3</v>
      </c>
      <c r="C1143" s="22">
        <f t="shared" si="17"/>
        <v>-1.1545226150000001</v>
      </c>
    </row>
    <row r="1144" spans="1:3" x14ac:dyDescent="0.3">
      <c r="A1144" s="22">
        <v>-8.4999999999999994E-8</v>
      </c>
      <c r="B1144" s="22">
        <v>-1.8580401959999999E-3</v>
      </c>
      <c r="C1144" s="22">
        <f t="shared" si="17"/>
        <v>-1.8580401959999999</v>
      </c>
    </row>
    <row r="1145" spans="1:3" x14ac:dyDescent="0.3">
      <c r="A1145" s="22">
        <v>-8.0000000000000002E-8</v>
      </c>
      <c r="B1145" s="22">
        <v>-1.556532661E-3</v>
      </c>
      <c r="C1145" s="22">
        <f t="shared" si="17"/>
        <v>-1.5565326609999999</v>
      </c>
    </row>
    <row r="1146" spans="1:3" x14ac:dyDescent="0.3">
      <c r="A1146" s="22">
        <v>-7.4999999999999997E-8</v>
      </c>
      <c r="B1146" s="22">
        <v>-1.556532661E-3</v>
      </c>
      <c r="C1146" s="22">
        <f t="shared" si="17"/>
        <v>-1.5565326609999999</v>
      </c>
    </row>
    <row r="1147" spans="1:3" x14ac:dyDescent="0.3">
      <c r="A1147" s="22">
        <v>-7.0000000000000005E-8</v>
      </c>
      <c r="B1147" s="22">
        <v>-1.154522615E-3</v>
      </c>
      <c r="C1147" s="22">
        <f t="shared" si="17"/>
        <v>-1.1545226150000001</v>
      </c>
    </row>
    <row r="1148" spans="1:3" x14ac:dyDescent="0.3">
      <c r="A1148" s="22">
        <v>-6.5E-8</v>
      </c>
      <c r="B1148" s="22">
        <v>-7.52512569E-4</v>
      </c>
      <c r="C1148" s="22">
        <f t="shared" si="17"/>
        <v>-0.75251256899999996</v>
      </c>
    </row>
    <row r="1149" spans="1:3" x14ac:dyDescent="0.3">
      <c r="A1149" s="22">
        <v>-5.9999999999999995E-8</v>
      </c>
      <c r="B1149" s="22">
        <v>-1.556532661E-3</v>
      </c>
      <c r="C1149" s="22">
        <f t="shared" si="17"/>
        <v>-1.5565326609999999</v>
      </c>
    </row>
    <row r="1150" spans="1:3" x14ac:dyDescent="0.3">
      <c r="A1150" s="22">
        <v>-5.5000000000000003E-8</v>
      </c>
      <c r="B1150" s="22">
        <v>-2.5615577759999998E-3</v>
      </c>
      <c r="C1150" s="22">
        <f t="shared" si="17"/>
        <v>-2.5615577759999999</v>
      </c>
    </row>
    <row r="1151" spans="1:3" x14ac:dyDescent="0.3">
      <c r="A1151" s="22">
        <v>-4.9999999999999998E-8</v>
      </c>
      <c r="B1151" s="22">
        <v>-2.2600502419999999E-3</v>
      </c>
      <c r="C1151" s="22">
        <f t="shared" si="17"/>
        <v>-2.2600502419999997</v>
      </c>
    </row>
    <row r="1152" spans="1:3" x14ac:dyDescent="0.3">
      <c r="A1152" s="22">
        <v>-4.4999999999999999E-8</v>
      </c>
      <c r="B1152" s="22">
        <v>-1.958542707E-3</v>
      </c>
      <c r="C1152" s="22">
        <f t="shared" si="17"/>
        <v>-1.9585427069999999</v>
      </c>
    </row>
    <row r="1153" spans="1:3" x14ac:dyDescent="0.3">
      <c r="A1153" s="22">
        <v>-4.0000000000000001E-8</v>
      </c>
      <c r="B1153" s="22">
        <v>-1.958542707E-3</v>
      </c>
      <c r="C1153" s="22">
        <f t="shared" si="17"/>
        <v>-1.9585427069999999</v>
      </c>
    </row>
    <row r="1154" spans="1:3" x14ac:dyDescent="0.3">
      <c r="A1154" s="22">
        <v>-3.5000000000000002E-8</v>
      </c>
      <c r="B1154" s="22">
        <v>-2.3605527530000002E-3</v>
      </c>
      <c r="C1154" s="22">
        <f t="shared" si="17"/>
        <v>-2.3605527530000003</v>
      </c>
    </row>
    <row r="1155" spans="1:3" x14ac:dyDescent="0.3">
      <c r="A1155" s="22">
        <v>-2.9999999999999997E-8</v>
      </c>
      <c r="B1155" s="22">
        <v>-1.4560301499999999E-3</v>
      </c>
      <c r="C1155" s="22">
        <f t="shared" si="17"/>
        <v>-1.4560301499999999</v>
      </c>
    </row>
    <row r="1156" spans="1:3" x14ac:dyDescent="0.3">
      <c r="A1156" s="22">
        <v>-2.4999999999999999E-8</v>
      </c>
      <c r="B1156" s="22">
        <v>-1.154522615E-3</v>
      </c>
      <c r="C1156" s="22">
        <f t="shared" ref="C1156:C1219" si="18">B1156*10^3</f>
        <v>-1.1545226150000001</v>
      </c>
    </row>
    <row r="1157" spans="1:3" x14ac:dyDescent="0.3">
      <c r="A1157" s="22">
        <v>-2E-8</v>
      </c>
      <c r="B1157" s="22">
        <v>-1.8580401959999999E-3</v>
      </c>
      <c r="C1157" s="22">
        <f t="shared" si="18"/>
        <v>-1.8580401959999999</v>
      </c>
    </row>
    <row r="1158" spans="1:3" x14ac:dyDescent="0.3">
      <c r="A1158" s="22">
        <v>-1.4999999999999999E-8</v>
      </c>
      <c r="B1158" s="22">
        <v>-1.4560301499999999E-3</v>
      </c>
      <c r="C1158" s="22">
        <f t="shared" si="18"/>
        <v>-1.4560301499999999</v>
      </c>
    </row>
    <row r="1159" spans="1:3" x14ac:dyDescent="0.3">
      <c r="A1159" s="22">
        <v>-1E-8</v>
      </c>
      <c r="B1159" s="22">
        <v>-1.4560301499999999E-3</v>
      </c>
      <c r="C1159" s="22">
        <f t="shared" si="18"/>
        <v>-1.4560301499999999</v>
      </c>
    </row>
    <row r="1160" spans="1:3" x14ac:dyDescent="0.3">
      <c r="A1160" s="22">
        <v>-5.0000000000000001E-9</v>
      </c>
      <c r="B1160" s="22">
        <v>-1.0540201039999999E-3</v>
      </c>
      <c r="C1160" s="22">
        <f t="shared" si="18"/>
        <v>-1.0540201039999999</v>
      </c>
    </row>
    <row r="1161" spans="1:3" x14ac:dyDescent="0.3">
      <c r="A1161" s="22">
        <v>0</v>
      </c>
      <c r="B1161" s="22">
        <v>-7.52512569E-4</v>
      </c>
      <c r="C1161" s="22">
        <f t="shared" si="18"/>
        <v>-0.75251256899999996</v>
      </c>
    </row>
    <row r="1162" spans="1:3" x14ac:dyDescent="0.3">
      <c r="A1162" s="22">
        <v>5.0000000000000001E-9</v>
      </c>
      <c r="B1162" s="22">
        <v>-6.5201005800000005E-4</v>
      </c>
      <c r="C1162" s="22">
        <f t="shared" si="18"/>
        <v>-0.652010058</v>
      </c>
    </row>
    <row r="1163" spans="1:3" x14ac:dyDescent="0.3">
      <c r="A1163" s="22">
        <v>1E-8</v>
      </c>
      <c r="B1163" s="22">
        <v>-1.0540201039999999E-3</v>
      </c>
      <c r="C1163" s="22">
        <f t="shared" si="18"/>
        <v>-1.0540201039999999</v>
      </c>
    </row>
    <row r="1164" spans="1:3" x14ac:dyDescent="0.3">
      <c r="A1164" s="22">
        <v>1.4999999999999999E-8</v>
      </c>
      <c r="B1164" s="22">
        <v>-6.5201005800000005E-4</v>
      </c>
      <c r="C1164" s="22">
        <f t="shared" si="18"/>
        <v>-0.652010058</v>
      </c>
    </row>
    <row r="1165" spans="1:3" x14ac:dyDescent="0.3">
      <c r="A1165" s="22">
        <v>2E-8</v>
      </c>
      <c r="B1165" s="22">
        <v>-2.5000001200000001E-4</v>
      </c>
      <c r="C1165" s="22">
        <f t="shared" si="18"/>
        <v>-0.25000001199999999</v>
      </c>
    </row>
    <row r="1166" spans="1:3" x14ac:dyDescent="0.3">
      <c r="A1166" s="22">
        <v>2.4999999999999999E-8</v>
      </c>
      <c r="B1166" s="22">
        <v>5.1507522999999997E-5</v>
      </c>
      <c r="C1166" s="22">
        <f t="shared" si="18"/>
        <v>5.1507523E-2</v>
      </c>
    </row>
    <row r="1167" spans="1:3" x14ac:dyDescent="0.3">
      <c r="A1167" s="22">
        <v>2.9999999999999997E-8</v>
      </c>
      <c r="B1167" s="22">
        <v>-6.5201005800000005E-4</v>
      </c>
      <c r="C1167" s="22">
        <f t="shared" si="18"/>
        <v>-0.652010058</v>
      </c>
    </row>
    <row r="1168" spans="1:3" x14ac:dyDescent="0.3">
      <c r="A1168" s="22">
        <v>3.5000000000000002E-8</v>
      </c>
      <c r="B1168" s="22">
        <v>1.52010034E-4</v>
      </c>
      <c r="C1168" s="22">
        <f t="shared" si="18"/>
        <v>0.15201003400000002</v>
      </c>
    </row>
    <row r="1169" spans="1:3" x14ac:dyDescent="0.3">
      <c r="A1169" s="22">
        <v>4.0000000000000001E-8</v>
      </c>
      <c r="B1169" s="22">
        <v>-1.4949749999999999E-4</v>
      </c>
      <c r="C1169" s="22">
        <f t="shared" si="18"/>
        <v>-0.14949749999999998</v>
      </c>
    </row>
    <row r="1170" spans="1:3" x14ac:dyDescent="0.3">
      <c r="A1170" s="22">
        <v>4.4999999999999999E-8</v>
      </c>
      <c r="B1170" s="22">
        <v>-4.5100503500000001E-4</v>
      </c>
      <c r="C1170" s="22">
        <f t="shared" si="18"/>
        <v>-0.451005035</v>
      </c>
    </row>
    <row r="1171" spans="1:3" x14ac:dyDescent="0.3">
      <c r="A1171" s="22">
        <v>4.9999999999999998E-8</v>
      </c>
      <c r="B1171" s="22">
        <v>8.5552761399999996E-4</v>
      </c>
      <c r="C1171" s="22">
        <f t="shared" si="18"/>
        <v>0.85552761399999999</v>
      </c>
    </row>
    <row r="1172" spans="1:3" x14ac:dyDescent="0.3">
      <c r="A1172" s="22">
        <v>5.5000000000000003E-8</v>
      </c>
      <c r="B1172" s="22">
        <v>-6.5201005800000005E-4</v>
      </c>
      <c r="C1172" s="22">
        <f t="shared" si="18"/>
        <v>-0.652010058</v>
      </c>
    </row>
    <row r="1173" spans="1:3" x14ac:dyDescent="0.3">
      <c r="A1173" s="22">
        <v>5.9999999999999995E-8</v>
      </c>
      <c r="B1173" s="22">
        <v>-1.4560301499999999E-3</v>
      </c>
      <c r="C1173" s="22">
        <f t="shared" si="18"/>
        <v>-1.4560301499999999</v>
      </c>
    </row>
    <row r="1174" spans="1:3" x14ac:dyDescent="0.3">
      <c r="A1174" s="22">
        <v>6.5E-8</v>
      </c>
      <c r="B1174" s="22">
        <v>-1.3555276380000001E-3</v>
      </c>
      <c r="C1174" s="22">
        <f t="shared" si="18"/>
        <v>-1.3555276380000001</v>
      </c>
    </row>
    <row r="1175" spans="1:3" x14ac:dyDescent="0.3">
      <c r="A1175" s="22">
        <v>7.0000000000000005E-8</v>
      </c>
      <c r="B1175" s="22">
        <v>-3.5050252300000001E-4</v>
      </c>
      <c r="C1175" s="22">
        <f t="shared" si="18"/>
        <v>-0.35050252300000001</v>
      </c>
    </row>
    <row r="1176" spans="1:3" x14ac:dyDescent="0.3">
      <c r="A1176" s="22">
        <v>7.4999999999999997E-8</v>
      </c>
      <c r="B1176" s="22">
        <v>-7.52512569E-4</v>
      </c>
      <c r="C1176" s="22">
        <f t="shared" si="18"/>
        <v>-0.75251256899999996</v>
      </c>
    </row>
    <row r="1177" spans="1:3" x14ac:dyDescent="0.3">
      <c r="A1177" s="22">
        <v>8.0000000000000002E-8</v>
      </c>
      <c r="B1177" s="22">
        <v>-1.3555276380000001E-3</v>
      </c>
      <c r="C1177" s="22">
        <f t="shared" si="18"/>
        <v>-1.3555276380000001</v>
      </c>
    </row>
    <row r="1178" spans="1:3" x14ac:dyDescent="0.3">
      <c r="A1178" s="22">
        <v>8.4999999999999994E-8</v>
      </c>
      <c r="B1178" s="22">
        <v>-1.4560301499999999E-3</v>
      </c>
      <c r="C1178" s="22">
        <f t="shared" si="18"/>
        <v>-1.4560301499999999</v>
      </c>
    </row>
    <row r="1179" spans="1:3" x14ac:dyDescent="0.3">
      <c r="A1179" s="22">
        <v>8.9999999999999999E-8</v>
      </c>
      <c r="B1179" s="22">
        <v>-6.5201005800000005E-4</v>
      </c>
      <c r="C1179" s="22">
        <f t="shared" si="18"/>
        <v>-0.652010058</v>
      </c>
    </row>
    <row r="1180" spans="1:3" x14ac:dyDescent="0.3">
      <c r="A1180" s="22">
        <v>9.5000000000000004E-8</v>
      </c>
      <c r="B1180" s="22">
        <v>-1.4560301499999999E-3</v>
      </c>
      <c r="C1180" s="22">
        <f t="shared" si="18"/>
        <v>-1.4560301499999999</v>
      </c>
    </row>
    <row r="1181" spans="1:3" x14ac:dyDescent="0.3">
      <c r="A1181" s="22">
        <v>9.9999999999999995E-8</v>
      </c>
      <c r="B1181" s="22">
        <v>-1.255025127E-3</v>
      </c>
      <c r="C1181" s="22">
        <f t="shared" si="18"/>
        <v>-1.2550251270000001</v>
      </c>
    </row>
    <row r="1182" spans="1:3" x14ac:dyDescent="0.3">
      <c r="A1182" s="22">
        <v>1.05E-7</v>
      </c>
      <c r="B1182" s="22">
        <v>-1.8580401959999999E-3</v>
      </c>
      <c r="C1182" s="22">
        <f t="shared" si="18"/>
        <v>-1.8580401959999999</v>
      </c>
    </row>
    <row r="1183" spans="1:3" x14ac:dyDescent="0.3">
      <c r="A1183" s="22">
        <v>1.1000000000000001E-7</v>
      </c>
      <c r="B1183" s="22">
        <v>-2.5615577759999998E-3</v>
      </c>
      <c r="C1183" s="22">
        <f t="shared" si="18"/>
        <v>-2.5615577759999999</v>
      </c>
    </row>
    <row r="1184" spans="1:3" x14ac:dyDescent="0.3">
      <c r="A1184" s="22">
        <v>1.15E-7</v>
      </c>
      <c r="B1184" s="22">
        <v>-4.5100503500000001E-4</v>
      </c>
      <c r="C1184" s="22">
        <f t="shared" si="18"/>
        <v>-0.451005035</v>
      </c>
    </row>
    <row r="1185" spans="1:3" x14ac:dyDescent="0.3">
      <c r="A1185" s="22">
        <v>1.1999999999999999E-7</v>
      </c>
      <c r="B1185" s="22">
        <v>-2.3605527530000002E-3</v>
      </c>
      <c r="C1185" s="22">
        <f t="shared" si="18"/>
        <v>-2.3605527530000003</v>
      </c>
    </row>
    <row r="1186" spans="1:3" x14ac:dyDescent="0.3">
      <c r="A1186" s="22">
        <v>1.2499999999999999E-7</v>
      </c>
      <c r="B1186" s="22">
        <v>-2.2600502419999999E-3</v>
      </c>
      <c r="C1186" s="22">
        <f t="shared" si="18"/>
        <v>-2.2600502419999997</v>
      </c>
    </row>
    <row r="1187" spans="1:3" x14ac:dyDescent="0.3">
      <c r="A1187" s="22">
        <v>1.3E-7</v>
      </c>
      <c r="B1187" s="22">
        <v>-6.5201005800000005E-4</v>
      </c>
      <c r="C1187" s="22">
        <f t="shared" si="18"/>
        <v>-0.652010058</v>
      </c>
    </row>
    <row r="1188" spans="1:3" x14ac:dyDescent="0.3">
      <c r="A1188" s="22">
        <v>1.35E-7</v>
      </c>
      <c r="B1188" s="22">
        <v>-7.52512569E-4</v>
      </c>
      <c r="C1188" s="22">
        <f t="shared" si="18"/>
        <v>-0.75251256899999996</v>
      </c>
    </row>
    <row r="1189" spans="1:3" x14ac:dyDescent="0.3">
      <c r="A1189" s="22">
        <v>1.4000000000000001E-7</v>
      </c>
      <c r="B1189" s="22">
        <v>-8.5301508100000005E-4</v>
      </c>
      <c r="C1189" s="22">
        <f t="shared" si="18"/>
        <v>-0.85301508100000001</v>
      </c>
    </row>
    <row r="1190" spans="1:3" x14ac:dyDescent="0.3">
      <c r="A1190" s="22">
        <v>1.4499999999999999E-7</v>
      </c>
      <c r="B1190" s="22">
        <v>-6.5201005800000005E-4</v>
      </c>
      <c r="C1190" s="22">
        <f t="shared" si="18"/>
        <v>-0.652010058</v>
      </c>
    </row>
    <row r="1191" spans="1:3" x14ac:dyDescent="0.3">
      <c r="A1191" s="22">
        <v>1.4999999999999999E-7</v>
      </c>
      <c r="B1191" s="22">
        <v>-6.5201005800000005E-4</v>
      </c>
      <c r="C1191" s="22">
        <f t="shared" si="18"/>
        <v>-0.652010058</v>
      </c>
    </row>
    <row r="1192" spans="1:3" x14ac:dyDescent="0.3">
      <c r="A1192" s="22">
        <v>1.55E-7</v>
      </c>
      <c r="B1192" s="22">
        <v>1.52010034E-4</v>
      </c>
      <c r="C1192" s="22">
        <f t="shared" si="18"/>
        <v>0.15201003400000002</v>
      </c>
    </row>
    <row r="1193" spans="1:3" x14ac:dyDescent="0.3">
      <c r="A1193" s="22">
        <v>1.6E-7</v>
      </c>
      <c r="B1193" s="22">
        <v>5.5402008000000002E-4</v>
      </c>
      <c r="C1193" s="22">
        <f t="shared" si="18"/>
        <v>0.55402008000000003</v>
      </c>
    </row>
    <row r="1194" spans="1:3" x14ac:dyDescent="0.3">
      <c r="A1194" s="22">
        <v>1.6500000000000001E-7</v>
      </c>
      <c r="B1194" s="22">
        <v>2.5251254600000002E-4</v>
      </c>
      <c r="C1194" s="22">
        <f t="shared" si="18"/>
        <v>0.252512546</v>
      </c>
    </row>
    <row r="1195" spans="1:3" x14ac:dyDescent="0.3">
      <c r="A1195" s="22">
        <v>1.6999999999999999E-7</v>
      </c>
      <c r="B1195" s="22">
        <v>1.52010034E-4</v>
      </c>
      <c r="C1195" s="22">
        <f t="shared" si="18"/>
        <v>0.15201003400000002</v>
      </c>
    </row>
    <row r="1196" spans="1:3" x14ac:dyDescent="0.3">
      <c r="A1196" s="22">
        <v>1.7499999999999999E-7</v>
      </c>
      <c r="B1196" s="22">
        <v>9.56030126E-4</v>
      </c>
      <c r="C1196" s="22">
        <f t="shared" si="18"/>
        <v>0.95603012600000004</v>
      </c>
    </row>
    <row r="1197" spans="1:3" x14ac:dyDescent="0.3">
      <c r="A1197" s="22">
        <v>1.8E-7</v>
      </c>
      <c r="B1197" s="22">
        <v>9.56030126E-4</v>
      </c>
      <c r="C1197" s="22">
        <f t="shared" si="18"/>
        <v>0.95603012600000004</v>
      </c>
    </row>
    <row r="1198" spans="1:3" x14ac:dyDescent="0.3">
      <c r="A1198" s="22">
        <v>1.85E-7</v>
      </c>
      <c r="B1198" s="22">
        <v>8.5552761399999996E-4</v>
      </c>
      <c r="C1198" s="22">
        <f t="shared" si="18"/>
        <v>0.85552761399999999</v>
      </c>
    </row>
    <row r="1199" spans="1:3" x14ac:dyDescent="0.3">
      <c r="A1199" s="22">
        <v>1.9000000000000001E-7</v>
      </c>
      <c r="B1199" s="22">
        <v>5.1507522999999997E-5</v>
      </c>
      <c r="C1199" s="22">
        <f t="shared" si="18"/>
        <v>5.1507523E-2</v>
      </c>
    </row>
    <row r="1200" spans="1:3" x14ac:dyDescent="0.3">
      <c r="A1200" s="22">
        <v>1.9500000000000001E-7</v>
      </c>
      <c r="B1200" s="22">
        <v>1.52010034E-4</v>
      </c>
      <c r="C1200" s="22">
        <f t="shared" si="18"/>
        <v>0.15201003400000002</v>
      </c>
    </row>
    <row r="1201" spans="1:3" x14ac:dyDescent="0.3">
      <c r="A1201" s="22">
        <v>1.9999999999999999E-7</v>
      </c>
      <c r="B1201" s="22">
        <v>1.52010034E-4</v>
      </c>
      <c r="C1201" s="22">
        <f t="shared" si="18"/>
        <v>0.15201003400000002</v>
      </c>
    </row>
    <row r="1202" spans="1:3" x14ac:dyDescent="0.3">
      <c r="A1202" s="22">
        <v>2.05E-7</v>
      </c>
      <c r="B1202" s="22">
        <v>-2.5000001200000001E-4</v>
      </c>
      <c r="C1202" s="22">
        <f t="shared" si="18"/>
        <v>-0.25000001199999999</v>
      </c>
    </row>
    <row r="1203" spans="1:3" x14ac:dyDescent="0.3">
      <c r="A1203" s="22">
        <v>2.1E-7</v>
      </c>
      <c r="B1203" s="22">
        <v>-1.4949749999999999E-4</v>
      </c>
      <c r="C1203" s="22">
        <f t="shared" si="18"/>
        <v>-0.14949749999999998</v>
      </c>
    </row>
    <row r="1204" spans="1:3" x14ac:dyDescent="0.3">
      <c r="A1204" s="22">
        <v>2.1500000000000001E-7</v>
      </c>
      <c r="B1204" s="22">
        <v>-3.5050252300000001E-4</v>
      </c>
      <c r="C1204" s="22">
        <f t="shared" si="18"/>
        <v>-0.35050252300000001</v>
      </c>
    </row>
    <row r="1205" spans="1:3" x14ac:dyDescent="0.3">
      <c r="A1205" s="22">
        <v>2.2000000000000001E-7</v>
      </c>
      <c r="B1205" s="22">
        <v>-2.5000001200000001E-4</v>
      </c>
      <c r="C1205" s="22">
        <f t="shared" si="18"/>
        <v>-0.25000001199999999</v>
      </c>
    </row>
    <row r="1206" spans="1:3" x14ac:dyDescent="0.3">
      <c r="A1206" s="22">
        <v>2.2499999999999999E-7</v>
      </c>
      <c r="B1206" s="22">
        <v>-1.7575376840000001E-3</v>
      </c>
      <c r="C1206" s="22">
        <f t="shared" si="18"/>
        <v>-1.7575376840000001</v>
      </c>
    </row>
    <row r="1207" spans="1:3" x14ac:dyDescent="0.3">
      <c r="A1207" s="22">
        <v>2.2999999999999999E-7</v>
      </c>
      <c r="B1207" s="22">
        <v>-1.154522615E-3</v>
      </c>
      <c r="C1207" s="22">
        <f t="shared" si="18"/>
        <v>-1.1545226150000001</v>
      </c>
    </row>
    <row r="1208" spans="1:3" x14ac:dyDescent="0.3">
      <c r="A1208" s="22">
        <v>2.35E-7</v>
      </c>
      <c r="B1208" s="22">
        <v>-1.958542707E-3</v>
      </c>
      <c r="C1208" s="22">
        <f t="shared" si="18"/>
        <v>-1.9585427069999999</v>
      </c>
    </row>
    <row r="1209" spans="1:3" x14ac:dyDescent="0.3">
      <c r="A1209" s="22">
        <v>2.3999999999999998E-7</v>
      </c>
      <c r="B1209" s="22">
        <v>-2.1595477300000001E-3</v>
      </c>
      <c r="C1209" s="22">
        <f t="shared" si="18"/>
        <v>-2.1595477299999999</v>
      </c>
    </row>
    <row r="1210" spans="1:3" x14ac:dyDescent="0.3">
      <c r="A1210" s="22">
        <v>2.4499999999999998E-7</v>
      </c>
      <c r="B1210" s="22">
        <v>-1.958542707E-3</v>
      </c>
      <c r="C1210" s="22">
        <f t="shared" si="18"/>
        <v>-1.9585427069999999</v>
      </c>
    </row>
    <row r="1211" spans="1:3" x14ac:dyDescent="0.3">
      <c r="A1211" s="22">
        <v>2.4999999999999999E-7</v>
      </c>
      <c r="B1211" s="22">
        <v>-2.6620602880000001E-3</v>
      </c>
      <c r="C1211" s="22">
        <f t="shared" si="18"/>
        <v>-2.6620602880000002</v>
      </c>
    </row>
    <row r="1212" spans="1:3" x14ac:dyDescent="0.3">
      <c r="A1212" s="22">
        <v>2.5499999999999999E-7</v>
      </c>
      <c r="B1212" s="22">
        <v>-1.958542707E-3</v>
      </c>
      <c r="C1212" s="22">
        <f t="shared" si="18"/>
        <v>-1.9585427069999999</v>
      </c>
    </row>
    <row r="1213" spans="1:3" x14ac:dyDescent="0.3">
      <c r="A1213" s="22">
        <v>2.6E-7</v>
      </c>
      <c r="B1213" s="22">
        <v>-2.5615577759999998E-3</v>
      </c>
      <c r="C1213" s="22">
        <f t="shared" si="18"/>
        <v>-2.5615577759999999</v>
      </c>
    </row>
    <row r="1214" spans="1:3" x14ac:dyDescent="0.3">
      <c r="A1214" s="22">
        <v>2.65E-7</v>
      </c>
      <c r="B1214" s="22">
        <v>-3.1645728450000001E-3</v>
      </c>
      <c r="C1214" s="22">
        <f t="shared" si="18"/>
        <v>-3.1645728450000004</v>
      </c>
    </row>
    <row r="1215" spans="1:3" x14ac:dyDescent="0.3">
      <c r="A1215" s="22">
        <v>2.7000000000000001E-7</v>
      </c>
      <c r="B1215" s="22">
        <v>-2.6620602880000001E-3</v>
      </c>
      <c r="C1215" s="22">
        <f t="shared" si="18"/>
        <v>-2.6620602880000002</v>
      </c>
    </row>
    <row r="1216" spans="1:3" x14ac:dyDescent="0.3">
      <c r="A1216" s="22">
        <v>2.7500000000000001E-7</v>
      </c>
      <c r="B1216" s="22">
        <v>-2.2600502419999999E-3</v>
      </c>
      <c r="C1216" s="22">
        <f t="shared" si="18"/>
        <v>-2.2600502419999997</v>
      </c>
    </row>
    <row r="1217" spans="1:3" x14ac:dyDescent="0.3">
      <c r="A1217" s="22">
        <v>2.8000000000000002E-7</v>
      </c>
      <c r="B1217" s="22">
        <v>-2.5615577759999998E-3</v>
      </c>
      <c r="C1217" s="22">
        <f t="shared" si="18"/>
        <v>-2.5615577759999999</v>
      </c>
    </row>
    <row r="1218" spans="1:3" x14ac:dyDescent="0.3">
      <c r="A1218" s="22">
        <v>2.8500000000000002E-7</v>
      </c>
      <c r="B1218" s="22">
        <v>-1.556532661E-3</v>
      </c>
      <c r="C1218" s="22">
        <f t="shared" si="18"/>
        <v>-1.5565326609999999</v>
      </c>
    </row>
    <row r="1219" spans="1:3" x14ac:dyDescent="0.3">
      <c r="A1219" s="22">
        <v>2.8999999999999998E-7</v>
      </c>
      <c r="B1219" s="22">
        <v>-1.4560301499999999E-3</v>
      </c>
      <c r="C1219" s="22">
        <f t="shared" si="18"/>
        <v>-1.4560301499999999</v>
      </c>
    </row>
    <row r="1220" spans="1:3" x14ac:dyDescent="0.3">
      <c r="A1220" s="22">
        <v>2.9499999999999998E-7</v>
      </c>
      <c r="B1220" s="22">
        <v>-2.6620602880000001E-3</v>
      </c>
      <c r="C1220" s="22">
        <f t="shared" ref="C1220:C1283" si="19">B1220*10^3</f>
        <v>-2.6620602880000002</v>
      </c>
    </row>
    <row r="1221" spans="1:3" x14ac:dyDescent="0.3">
      <c r="A1221" s="22">
        <v>2.9999999999999999E-7</v>
      </c>
      <c r="B1221" s="22">
        <v>-2.2600502419999999E-3</v>
      </c>
      <c r="C1221" s="22">
        <f t="shared" si="19"/>
        <v>-2.2600502419999997</v>
      </c>
    </row>
    <row r="1222" spans="1:3" x14ac:dyDescent="0.3">
      <c r="A1222" s="22">
        <v>3.0499999999999999E-7</v>
      </c>
      <c r="B1222" s="22">
        <v>-2.6620602880000001E-3</v>
      </c>
      <c r="C1222" s="22">
        <f t="shared" si="19"/>
        <v>-2.6620602880000002</v>
      </c>
    </row>
    <row r="1223" spans="1:3" x14ac:dyDescent="0.3">
      <c r="A1223" s="22">
        <v>3.1E-7</v>
      </c>
      <c r="B1223" s="22">
        <v>-1.4560301499999999E-3</v>
      </c>
      <c r="C1223" s="22">
        <f t="shared" si="19"/>
        <v>-1.4560301499999999</v>
      </c>
    </row>
    <row r="1224" spans="1:3" x14ac:dyDescent="0.3">
      <c r="A1224" s="22">
        <v>3.15E-7</v>
      </c>
      <c r="B1224" s="22">
        <v>-8.5301508100000005E-4</v>
      </c>
      <c r="C1224" s="22">
        <f t="shared" si="19"/>
        <v>-0.85301508100000001</v>
      </c>
    </row>
    <row r="1225" spans="1:3" x14ac:dyDescent="0.3">
      <c r="A1225" s="22">
        <v>3.2000000000000001E-7</v>
      </c>
      <c r="B1225" s="22">
        <v>-1.4560301499999999E-3</v>
      </c>
      <c r="C1225" s="22">
        <f t="shared" si="19"/>
        <v>-1.4560301499999999</v>
      </c>
    </row>
    <row r="1226" spans="1:3" x14ac:dyDescent="0.3">
      <c r="A1226" s="22">
        <v>3.2500000000000001E-7</v>
      </c>
      <c r="B1226" s="22">
        <v>-1.4560301499999999E-3</v>
      </c>
      <c r="C1226" s="22">
        <f t="shared" si="19"/>
        <v>-1.4560301499999999</v>
      </c>
    </row>
    <row r="1227" spans="1:3" x14ac:dyDescent="0.3">
      <c r="A1227" s="22">
        <v>3.3000000000000002E-7</v>
      </c>
      <c r="B1227" s="22">
        <v>-1.0540201039999999E-3</v>
      </c>
      <c r="C1227" s="22">
        <f t="shared" si="19"/>
        <v>-1.0540201039999999</v>
      </c>
    </row>
    <row r="1228" spans="1:3" x14ac:dyDescent="0.3">
      <c r="A1228" s="22">
        <v>3.3500000000000002E-7</v>
      </c>
      <c r="B1228" s="22">
        <v>-4.5100503500000001E-4</v>
      </c>
      <c r="C1228" s="22">
        <f t="shared" si="19"/>
        <v>-0.451005035</v>
      </c>
    </row>
    <row r="1229" spans="1:3" x14ac:dyDescent="0.3">
      <c r="A1229" s="22">
        <v>3.3999999999999997E-7</v>
      </c>
      <c r="B1229" s="22">
        <v>-3.5050252300000001E-4</v>
      </c>
      <c r="C1229" s="22">
        <f t="shared" si="19"/>
        <v>-0.35050252300000001</v>
      </c>
    </row>
    <row r="1230" spans="1:3" x14ac:dyDescent="0.3">
      <c r="A1230" s="22">
        <v>3.4499999999999998E-7</v>
      </c>
      <c r="B1230" s="22">
        <v>-6.5201005800000005E-4</v>
      </c>
      <c r="C1230" s="22">
        <f t="shared" si="19"/>
        <v>-0.652010058</v>
      </c>
    </row>
    <row r="1231" spans="1:3" x14ac:dyDescent="0.3">
      <c r="A1231" s="22">
        <v>3.4999999999999998E-7</v>
      </c>
      <c r="B1231" s="22">
        <v>-5.51507546E-4</v>
      </c>
      <c r="C1231" s="22">
        <f t="shared" si="19"/>
        <v>-0.55150754599999996</v>
      </c>
    </row>
    <row r="1232" spans="1:3" x14ac:dyDescent="0.3">
      <c r="A1232" s="22">
        <v>3.5499999999999999E-7</v>
      </c>
      <c r="B1232" s="22">
        <v>-6.5201005800000005E-4</v>
      </c>
      <c r="C1232" s="22">
        <f t="shared" si="19"/>
        <v>-0.652010058</v>
      </c>
    </row>
    <row r="1233" spans="1:3" x14ac:dyDescent="0.3">
      <c r="A1233" s="22">
        <v>3.5999999999999999E-7</v>
      </c>
      <c r="B1233" s="22">
        <v>-3.5050252300000001E-4</v>
      </c>
      <c r="C1233" s="22">
        <f t="shared" si="19"/>
        <v>-0.35050252300000001</v>
      </c>
    </row>
    <row r="1234" spans="1:3" x14ac:dyDescent="0.3">
      <c r="A1234" s="22">
        <v>3.65E-7</v>
      </c>
      <c r="B1234" s="22">
        <v>-3.5050252300000001E-4</v>
      </c>
      <c r="C1234" s="22">
        <f t="shared" si="19"/>
        <v>-0.35050252300000001</v>
      </c>
    </row>
    <row r="1235" spans="1:3" x14ac:dyDescent="0.3">
      <c r="A1235" s="22">
        <v>3.7E-7</v>
      </c>
      <c r="B1235" s="22">
        <v>1.52010034E-4</v>
      </c>
      <c r="C1235" s="22">
        <f t="shared" si="19"/>
        <v>0.15201003400000002</v>
      </c>
    </row>
    <row r="1236" spans="1:3" x14ac:dyDescent="0.3">
      <c r="A1236" s="22">
        <v>3.7500000000000001E-7</v>
      </c>
      <c r="B1236" s="22">
        <v>-6.5201005800000005E-4</v>
      </c>
      <c r="C1236" s="22">
        <f t="shared" si="19"/>
        <v>-0.652010058</v>
      </c>
    </row>
    <row r="1237" spans="1:3" x14ac:dyDescent="0.3">
      <c r="A1237" s="22">
        <v>3.8000000000000001E-7</v>
      </c>
      <c r="B1237" s="22">
        <v>-1.4560301499999999E-3</v>
      </c>
      <c r="C1237" s="22">
        <f t="shared" si="19"/>
        <v>-1.4560301499999999</v>
      </c>
    </row>
    <row r="1238" spans="1:3" x14ac:dyDescent="0.3">
      <c r="A1238" s="22">
        <v>3.8500000000000002E-7</v>
      </c>
      <c r="B1238" s="22">
        <v>-9.5351759199999999E-4</v>
      </c>
      <c r="C1238" s="22">
        <f t="shared" si="19"/>
        <v>-0.95351759199999997</v>
      </c>
    </row>
    <row r="1239" spans="1:3" x14ac:dyDescent="0.3">
      <c r="A1239" s="22">
        <v>3.9000000000000002E-7</v>
      </c>
      <c r="B1239" s="22">
        <v>-1.0540201039999999E-3</v>
      </c>
      <c r="C1239" s="22">
        <f t="shared" si="19"/>
        <v>-1.0540201039999999</v>
      </c>
    </row>
    <row r="1240" spans="1:3" x14ac:dyDescent="0.3">
      <c r="A1240" s="22">
        <v>3.9499999999999998E-7</v>
      </c>
      <c r="B1240" s="22">
        <v>-1.0540201039999999E-3</v>
      </c>
      <c r="C1240" s="22">
        <f t="shared" si="19"/>
        <v>-1.0540201039999999</v>
      </c>
    </row>
    <row r="1241" spans="1:3" x14ac:dyDescent="0.3">
      <c r="A1241" s="22">
        <v>3.9999999999999998E-7</v>
      </c>
      <c r="B1241" s="22">
        <v>-1.4560301499999999E-3</v>
      </c>
      <c r="C1241" s="22">
        <f t="shared" si="19"/>
        <v>-1.4560301499999999</v>
      </c>
    </row>
    <row r="1242" spans="1:3" x14ac:dyDescent="0.3">
      <c r="A1242" s="22">
        <v>4.0499999999999999E-7</v>
      </c>
      <c r="B1242" s="22">
        <v>-1.4560301499999999E-3</v>
      </c>
      <c r="C1242" s="22">
        <f t="shared" si="19"/>
        <v>-1.4560301499999999</v>
      </c>
    </row>
    <row r="1243" spans="1:3" x14ac:dyDescent="0.3">
      <c r="A1243" s="22">
        <v>4.0999999999999999E-7</v>
      </c>
      <c r="B1243" s="22">
        <v>-1.4560301499999999E-3</v>
      </c>
      <c r="C1243" s="22">
        <f t="shared" si="19"/>
        <v>-1.4560301499999999</v>
      </c>
    </row>
    <row r="1244" spans="1:3" x14ac:dyDescent="0.3">
      <c r="A1244" s="22">
        <v>4.15E-7</v>
      </c>
      <c r="B1244" s="22">
        <v>-7.52512569E-4</v>
      </c>
      <c r="C1244" s="22">
        <f t="shared" si="19"/>
        <v>-0.75251256899999996</v>
      </c>
    </row>
    <row r="1245" spans="1:3" x14ac:dyDescent="0.3">
      <c r="A1245" s="22">
        <v>4.2E-7</v>
      </c>
      <c r="B1245" s="22">
        <v>-1.8580401959999999E-3</v>
      </c>
      <c r="C1245" s="22">
        <f t="shared" si="19"/>
        <v>-1.8580401959999999</v>
      </c>
    </row>
    <row r="1246" spans="1:3" x14ac:dyDescent="0.3">
      <c r="A1246" s="22">
        <v>4.2500000000000001E-7</v>
      </c>
      <c r="B1246" s="22">
        <v>-1.4560301499999999E-3</v>
      </c>
      <c r="C1246" s="22">
        <f t="shared" si="19"/>
        <v>-1.4560301499999999</v>
      </c>
    </row>
    <row r="1247" spans="1:3" x14ac:dyDescent="0.3">
      <c r="A1247" s="22">
        <v>4.3000000000000001E-7</v>
      </c>
      <c r="B1247" s="22">
        <v>-1.0540201039999999E-3</v>
      </c>
      <c r="C1247" s="22">
        <f t="shared" si="19"/>
        <v>-1.0540201039999999</v>
      </c>
    </row>
    <row r="1248" spans="1:3" x14ac:dyDescent="0.3">
      <c r="A1248" s="22">
        <v>4.3500000000000002E-7</v>
      </c>
      <c r="B1248" s="22">
        <v>-3.5050252300000001E-4</v>
      </c>
      <c r="C1248" s="22">
        <f t="shared" si="19"/>
        <v>-0.35050252300000001</v>
      </c>
    </row>
    <row r="1249" spans="1:3" x14ac:dyDescent="0.3">
      <c r="A1249" s="22">
        <v>4.4000000000000002E-7</v>
      </c>
      <c r="B1249" s="22">
        <v>-2.5000001200000001E-4</v>
      </c>
      <c r="C1249" s="22">
        <f t="shared" si="19"/>
        <v>-0.25000001199999999</v>
      </c>
    </row>
    <row r="1250" spans="1:3" x14ac:dyDescent="0.3">
      <c r="A1250" s="22">
        <v>4.4499999999999997E-7</v>
      </c>
      <c r="B1250" s="22">
        <v>5.1507522999999997E-5</v>
      </c>
      <c r="C1250" s="22">
        <f t="shared" si="19"/>
        <v>5.1507523E-2</v>
      </c>
    </row>
    <row r="1251" spans="1:3" x14ac:dyDescent="0.3">
      <c r="A1251" s="22">
        <v>4.4999999999999998E-7</v>
      </c>
      <c r="B1251" s="22">
        <v>1.52010034E-4</v>
      </c>
      <c r="C1251" s="22">
        <f t="shared" si="19"/>
        <v>0.15201003400000002</v>
      </c>
    </row>
    <row r="1252" spans="1:3" x14ac:dyDescent="0.3">
      <c r="A1252" s="22">
        <v>4.5499999999999998E-7</v>
      </c>
      <c r="B1252" s="22">
        <v>-3.5050252300000001E-4</v>
      </c>
      <c r="C1252" s="22">
        <f t="shared" si="19"/>
        <v>-0.35050252300000001</v>
      </c>
    </row>
    <row r="1253" spans="1:3" x14ac:dyDescent="0.3">
      <c r="A1253" s="22">
        <v>4.5999999999999999E-7</v>
      </c>
      <c r="B1253" s="22">
        <v>-6.5201005800000005E-4</v>
      </c>
      <c r="C1253" s="22">
        <f t="shared" si="19"/>
        <v>-0.652010058</v>
      </c>
    </row>
    <row r="1254" spans="1:3" x14ac:dyDescent="0.3">
      <c r="A1254" s="22">
        <v>4.6499999999999999E-7</v>
      </c>
      <c r="B1254" s="22">
        <v>-1.0540201039999999E-3</v>
      </c>
      <c r="C1254" s="22">
        <f t="shared" si="19"/>
        <v>-1.0540201039999999</v>
      </c>
    </row>
    <row r="1255" spans="1:3" x14ac:dyDescent="0.3">
      <c r="A1255" s="22">
        <v>4.7E-7</v>
      </c>
      <c r="B1255" s="22">
        <v>-3.5050252300000001E-4</v>
      </c>
      <c r="C1255" s="22">
        <f t="shared" si="19"/>
        <v>-0.35050252300000001</v>
      </c>
    </row>
    <row r="1256" spans="1:3" x14ac:dyDescent="0.3">
      <c r="A1256" s="22">
        <v>4.75E-7</v>
      </c>
      <c r="B1256" s="22">
        <v>-1.556532661E-3</v>
      </c>
      <c r="C1256" s="22">
        <f t="shared" si="19"/>
        <v>-1.5565326609999999</v>
      </c>
    </row>
    <row r="1257" spans="1:3" x14ac:dyDescent="0.3">
      <c r="A1257" s="22">
        <v>4.7999999999999996E-7</v>
      </c>
      <c r="B1257" s="22">
        <v>-1.8580401959999999E-3</v>
      </c>
      <c r="C1257" s="22">
        <f t="shared" si="19"/>
        <v>-1.8580401959999999</v>
      </c>
    </row>
    <row r="1258" spans="1:3" x14ac:dyDescent="0.3">
      <c r="A1258" s="22">
        <v>4.8500000000000002E-7</v>
      </c>
      <c r="B1258" s="22">
        <v>-3.0640703329999999E-3</v>
      </c>
      <c r="C1258" s="22">
        <f t="shared" si="19"/>
        <v>-3.0640703330000001</v>
      </c>
    </row>
    <row r="1259" spans="1:3" x14ac:dyDescent="0.3">
      <c r="A1259" s="22">
        <v>4.8999999999999997E-7</v>
      </c>
      <c r="B1259" s="22">
        <v>-3.9685929370000001E-3</v>
      </c>
      <c r="C1259" s="22">
        <f t="shared" si="19"/>
        <v>-3.9685929369999999</v>
      </c>
    </row>
    <row r="1260" spans="1:3" x14ac:dyDescent="0.3">
      <c r="A1260" s="22">
        <v>4.9500000000000003E-7</v>
      </c>
      <c r="B1260" s="22">
        <v>-4.2701004710000001E-3</v>
      </c>
      <c r="C1260" s="22">
        <f t="shared" si="19"/>
        <v>-4.2701004710000001</v>
      </c>
    </row>
    <row r="1261" spans="1:3" x14ac:dyDescent="0.3">
      <c r="A1261" s="22">
        <v>4.9999999999999998E-7</v>
      </c>
      <c r="B1261" s="22">
        <v>-4.1695979600000002E-3</v>
      </c>
      <c r="C1261" s="22">
        <f t="shared" si="19"/>
        <v>-4.1695979599999999</v>
      </c>
    </row>
    <row r="1262" spans="1:3" x14ac:dyDescent="0.3">
      <c r="A1262" s="22">
        <v>5.0500000000000004E-7</v>
      </c>
      <c r="B1262" s="22">
        <v>-3.8680904249999998E-3</v>
      </c>
      <c r="C1262" s="22">
        <f t="shared" si="19"/>
        <v>-3.8680904249999997</v>
      </c>
    </row>
    <row r="1263" spans="1:3" x14ac:dyDescent="0.3">
      <c r="A1263" s="22">
        <v>5.0999999999999999E-7</v>
      </c>
      <c r="B1263" s="22">
        <v>-3.3655778679999998E-3</v>
      </c>
      <c r="C1263" s="22">
        <f t="shared" si="19"/>
        <v>-3.3655778679999999</v>
      </c>
    </row>
    <row r="1264" spans="1:3" x14ac:dyDescent="0.3">
      <c r="A1264" s="22">
        <v>5.1500000000000005E-7</v>
      </c>
      <c r="B1264" s="22">
        <v>-2.3605527530000002E-3</v>
      </c>
      <c r="C1264" s="22">
        <f t="shared" si="19"/>
        <v>-2.3605527530000003</v>
      </c>
    </row>
    <row r="1265" spans="1:3" x14ac:dyDescent="0.3">
      <c r="A1265" s="22">
        <v>5.2E-7</v>
      </c>
      <c r="B1265" s="22">
        <v>-2.6620602880000001E-3</v>
      </c>
      <c r="C1265" s="22">
        <f t="shared" si="19"/>
        <v>-2.6620602880000002</v>
      </c>
    </row>
    <row r="1266" spans="1:3" x14ac:dyDescent="0.3">
      <c r="A1266" s="22">
        <v>5.2499999999999995E-7</v>
      </c>
      <c r="B1266" s="22">
        <v>-1.7575376840000001E-3</v>
      </c>
      <c r="C1266" s="22">
        <f t="shared" si="19"/>
        <v>-1.7575376840000001</v>
      </c>
    </row>
    <row r="1267" spans="1:3" x14ac:dyDescent="0.3">
      <c r="A1267" s="22">
        <v>5.3000000000000001E-7</v>
      </c>
      <c r="B1267" s="22">
        <v>-2.2600502419999999E-3</v>
      </c>
      <c r="C1267" s="22">
        <f t="shared" si="19"/>
        <v>-2.2600502419999997</v>
      </c>
    </row>
    <row r="1268" spans="1:3" x14ac:dyDescent="0.3">
      <c r="A1268" s="22">
        <v>5.3499999999999996E-7</v>
      </c>
      <c r="B1268" s="22">
        <v>-3.0640703329999999E-3</v>
      </c>
      <c r="C1268" s="22">
        <f t="shared" si="19"/>
        <v>-3.0640703330000001</v>
      </c>
    </row>
    <row r="1269" spans="1:3" x14ac:dyDescent="0.3">
      <c r="A1269" s="22">
        <v>5.4000000000000002E-7</v>
      </c>
      <c r="B1269" s="22">
        <v>-2.6620602880000001E-3</v>
      </c>
      <c r="C1269" s="22">
        <f t="shared" si="19"/>
        <v>-2.6620602880000002</v>
      </c>
    </row>
    <row r="1270" spans="1:3" x14ac:dyDescent="0.3">
      <c r="A1270" s="22">
        <v>5.4499999999999997E-7</v>
      </c>
      <c r="B1270" s="22">
        <v>-2.7625627989999999E-3</v>
      </c>
      <c r="C1270" s="22">
        <f t="shared" si="19"/>
        <v>-2.7625627989999999</v>
      </c>
    </row>
    <row r="1271" spans="1:3" x14ac:dyDescent="0.3">
      <c r="A1271" s="22">
        <v>5.5000000000000003E-7</v>
      </c>
      <c r="B1271" s="22">
        <v>-2.2600502419999999E-3</v>
      </c>
      <c r="C1271" s="22">
        <f t="shared" si="19"/>
        <v>-2.2600502419999997</v>
      </c>
    </row>
    <row r="1272" spans="1:3" x14ac:dyDescent="0.3">
      <c r="A1272" s="22">
        <v>5.5499999999999998E-7</v>
      </c>
      <c r="B1272" s="22">
        <v>-1.8580401959999999E-3</v>
      </c>
      <c r="C1272" s="22">
        <f t="shared" si="19"/>
        <v>-1.8580401959999999</v>
      </c>
    </row>
    <row r="1273" spans="1:3" x14ac:dyDescent="0.3">
      <c r="A1273" s="22">
        <v>5.6000000000000004E-7</v>
      </c>
      <c r="B1273" s="22">
        <v>-1.958542707E-3</v>
      </c>
      <c r="C1273" s="22">
        <f t="shared" si="19"/>
        <v>-1.9585427069999999</v>
      </c>
    </row>
    <row r="1274" spans="1:3" x14ac:dyDescent="0.3">
      <c r="A1274" s="22">
        <v>5.6499999999999999E-7</v>
      </c>
      <c r="B1274" s="22">
        <v>-1.4560301499999999E-3</v>
      </c>
      <c r="C1274" s="22">
        <f t="shared" si="19"/>
        <v>-1.4560301499999999</v>
      </c>
    </row>
    <row r="1275" spans="1:3" x14ac:dyDescent="0.3">
      <c r="A1275" s="22">
        <v>5.7000000000000005E-7</v>
      </c>
      <c r="B1275" s="22">
        <v>-1.4560301499999999E-3</v>
      </c>
      <c r="C1275" s="22">
        <f t="shared" si="19"/>
        <v>-1.4560301499999999</v>
      </c>
    </row>
    <row r="1276" spans="1:3" x14ac:dyDescent="0.3">
      <c r="A1276" s="22">
        <v>5.75E-7</v>
      </c>
      <c r="B1276" s="22">
        <v>-1.958542707E-3</v>
      </c>
      <c r="C1276" s="22">
        <f t="shared" si="19"/>
        <v>-1.9585427069999999</v>
      </c>
    </row>
    <row r="1277" spans="1:3" x14ac:dyDescent="0.3">
      <c r="A1277" s="22">
        <v>5.7999999999999995E-7</v>
      </c>
      <c r="B1277" s="22">
        <v>-6.5201005800000005E-4</v>
      </c>
      <c r="C1277" s="22">
        <f t="shared" si="19"/>
        <v>-0.652010058</v>
      </c>
    </row>
    <row r="1278" spans="1:3" x14ac:dyDescent="0.3">
      <c r="A1278" s="22">
        <v>5.8500000000000001E-7</v>
      </c>
      <c r="B1278" s="22">
        <v>-1.4949749999999999E-4</v>
      </c>
      <c r="C1278" s="22">
        <f t="shared" si="19"/>
        <v>-0.14949749999999998</v>
      </c>
    </row>
    <row r="1279" spans="1:3" x14ac:dyDescent="0.3">
      <c r="A1279" s="22">
        <v>5.8999999999999996E-7</v>
      </c>
      <c r="B1279" s="22">
        <v>-2.5000001200000001E-4</v>
      </c>
      <c r="C1279" s="22">
        <f t="shared" si="19"/>
        <v>-0.25000001199999999</v>
      </c>
    </row>
    <row r="1280" spans="1:3" x14ac:dyDescent="0.3">
      <c r="A1280" s="22">
        <v>5.9500000000000002E-7</v>
      </c>
      <c r="B1280" s="22">
        <v>1.52010034E-4</v>
      </c>
      <c r="C1280" s="22">
        <f t="shared" si="19"/>
        <v>0.15201003400000002</v>
      </c>
    </row>
    <row r="1281" spans="1:3" x14ac:dyDescent="0.3">
      <c r="A1281" s="22">
        <v>5.9999999999999997E-7</v>
      </c>
      <c r="B1281" s="22">
        <v>5.1507522999999997E-5</v>
      </c>
      <c r="C1281" s="22">
        <f t="shared" si="19"/>
        <v>5.1507523E-2</v>
      </c>
    </row>
    <row r="1282" spans="1:3" x14ac:dyDescent="0.3">
      <c r="A1282" s="22">
        <v>6.0500000000000003E-7</v>
      </c>
      <c r="B1282" s="22">
        <v>5.1507522999999997E-5</v>
      </c>
      <c r="C1282" s="22">
        <f t="shared" si="19"/>
        <v>5.1507523E-2</v>
      </c>
    </row>
    <row r="1283" spans="1:3" x14ac:dyDescent="0.3">
      <c r="A1283" s="22">
        <v>6.0999999999999998E-7</v>
      </c>
      <c r="B1283" s="22">
        <v>5.5402008000000002E-4</v>
      </c>
      <c r="C1283" s="22">
        <f t="shared" si="19"/>
        <v>0.55402008000000003</v>
      </c>
    </row>
    <row r="1284" spans="1:3" x14ac:dyDescent="0.3">
      <c r="A1284" s="22">
        <v>6.1500000000000004E-7</v>
      </c>
      <c r="B1284" s="22">
        <v>-6.5201005800000005E-4</v>
      </c>
      <c r="C1284" s="22">
        <f t="shared" ref="C1284:C1347" si="20">B1284*10^3</f>
        <v>-0.652010058</v>
      </c>
    </row>
    <row r="1285" spans="1:3" x14ac:dyDescent="0.3">
      <c r="A1285" s="22">
        <v>6.1999999999999999E-7</v>
      </c>
      <c r="B1285" s="22">
        <v>6.5452259199999996E-4</v>
      </c>
      <c r="C1285" s="22">
        <f t="shared" si="20"/>
        <v>0.65452259199999996</v>
      </c>
    </row>
    <row r="1286" spans="1:3" x14ac:dyDescent="0.3">
      <c r="A1286" s="22">
        <v>6.2500000000000005E-7</v>
      </c>
      <c r="B1286" s="22">
        <v>1.2575376599999999E-3</v>
      </c>
      <c r="C1286" s="22">
        <f t="shared" si="20"/>
        <v>1.2575376599999999</v>
      </c>
    </row>
    <row r="1287" spans="1:3" x14ac:dyDescent="0.3">
      <c r="A1287" s="22">
        <v>6.3E-7</v>
      </c>
      <c r="B1287" s="22">
        <v>1.760050218E-3</v>
      </c>
      <c r="C1287" s="22">
        <f t="shared" si="20"/>
        <v>1.7600502179999999</v>
      </c>
    </row>
    <row r="1288" spans="1:3" x14ac:dyDescent="0.3">
      <c r="A1288" s="22">
        <v>6.3499999999999996E-7</v>
      </c>
      <c r="B1288" s="22">
        <v>6.5452259199999996E-4</v>
      </c>
      <c r="C1288" s="22">
        <f t="shared" si="20"/>
        <v>0.65452259199999996</v>
      </c>
    </row>
    <row r="1289" spans="1:3" x14ac:dyDescent="0.3">
      <c r="A1289" s="22">
        <v>6.4000000000000001E-7</v>
      </c>
      <c r="B1289" s="22">
        <v>5.5402008000000002E-4</v>
      </c>
      <c r="C1289" s="22">
        <f t="shared" si="20"/>
        <v>0.55402008000000003</v>
      </c>
    </row>
    <row r="1290" spans="1:3" x14ac:dyDescent="0.3">
      <c r="A1290" s="22">
        <v>6.4499999999999997E-7</v>
      </c>
      <c r="B1290" s="22">
        <v>-2.5000001200000001E-4</v>
      </c>
      <c r="C1290" s="22">
        <f t="shared" si="20"/>
        <v>-0.25000001199999999</v>
      </c>
    </row>
    <row r="1291" spans="1:3" x14ac:dyDescent="0.3">
      <c r="A1291" s="22">
        <v>6.5000000000000002E-7</v>
      </c>
      <c r="B1291" s="22">
        <v>1.52010034E-4</v>
      </c>
      <c r="C1291" s="22">
        <f t="shared" si="20"/>
        <v>0.15201003400000002</v>
      </c>
    </row>
    <row r="1292" spans="1:3" x14ac:dyDescent="0.3">
      <c r="A1292" s="22">
        <v>6.5499999999999998E-7</v>
      </c>
      <c r="B1292" s="22">
        <v>5.1507522999999997E-5</v>
      </c>
      <c r="C1292" s="22">
        <f t="shared" si="20"/>
        <v>5.1507523E-2</v>
      </c>
    </row>
    <row r="1293" spans="1:3" x14ac:dyDescent="0.3">
      <c r="A1293" s="22">
        <v>6.6000000000000003E-7</v>
      </c>
      <c r="B1293" s="22">
        <v>-3.5050252300000001E-4</v>
      </c>
      <c r="C1293" s="22">
        <f t="shared" si="20"/>
        <v>-0.35050252300000001</v>
      </c>
    </row>
    <row r="1294" spans="1:3" x14ac:dyDescent="0.3">
      <c r="A1294" s="22">
        <v>6.6499999999999999E-7</v>
      </c>
      <c r="B1294" s="22">
        <v>-7.52512569E-4</v>
      </c>
      <c r="C1294" s="22">
        <f t="shared" si="20"/>
        <v>-0.75251256899999996</v>
      </c>
    </row>
    <row r="1295" spans="1:3" x14ac:dyDescent="0.3">
      <c r="A1295" s="22">
        <v>6.7000000000000004E-7</v>
      </c>
      <c r="B1295" s="22">
        <v>-1.556532661E-3</v>
      </c>
      <c r="C1295" s="22">
        <f t="shared" si="20"/>
        <v>-1.5565326609999999</v>
      </c>
    </row>
    <row r="1296" spans="1:3" x14ac:dyDescent="0.3">
      <c r="A1296" s="22">
        <v>6.75E-7</v>
      </c>
      <c r="B1296" s="22">
        <v>-1.8580401959999999E-3</v>
      </c>
      <c r="C1296" s="22">
        <f t="shared" si="20"/>
        <v>-1.8580401959999999</v>
      </c>
    </row>
    <row r="1297" spans="1:3" x14ac:dyDescent="0.3">
      <c r="A1297" s="22">
        <v>6.7999999999999995E-7</v>
      </c>
      <c r="B1297" s="22">
        <v>-1.8580401959999999E-3</v>
      </c>
      <c r="C1297" s="22">
        <f t="shared" si="20"/>
        <v>-1.8580401959999999</v>
      </c>
    </row>
    <row r="1298" spans="1:3" x14ac:dyDescent="0.3">
      <c r="A1298" s="22">
        <v>6.8500000000000001E-7</v>
      </c>
      <c r="B1298" s="22">
        <v>-2.2600502419999999E-3</v>
      </c>
      <c r="C1298" s="22">
        <f t="shared" si="20"/>
        <v>-2.2600502419999997</v>
      </c>
    </row>
    <row r="1299" spans="1:3" x14ac:dyDescent="0.3">
      <c r="A1299" s="22">
        <v>6.8999999999999996E-7</v>
      </c>
      <c r="B1299" s="22">
        <v>-1.8580401959999999E-3</v>
      </c>
      <c r="C1299" s="22">
        <f t="shared" si="20"/>
        <v>-1.8580401959999999</v>
      </c>
    </row>
    <row r="1300" spans="1:3" x14ac:dyDescent="0.3">
      <c r="A1300" s="22">
        <v>6.9500000000000002E-7</v>
      </c>
      <c r="B1300" s="22">
        <v>-1.958542707E-3</v>
      </c>
      <c r="C1300" s="22">
        <f t="shared" si="20"/>
        <v>-1.9585427069999999</v>
      </c>
    </row>
    <row r="1301" spans="1:3" x14ac:dyDescent="0.3">
      <c r="A1301" s="22">
        <v>6.9999999999999997E-7</v>
      </c>
      <c r="B1301" s="22">
        <v>-1.958542707E-3</v>
      </c>
      <c r="C1301" s="22">
        <f t="shared" si="20"/>
        <v>-1.9585427069999999</v>
      </c>
    </row>
    <row r="1302" spans="1:3" x14ac:dyDescent="0.3">
      <c r="A1302" s="22">
        <v>7.0500000000000003E-7</v>
      </c>
      <c r="B1302" s="22">
        <v>-1.4560301499999999E-3</v>
      </c>
      <c r="C1302" s="22">
        <f t="shared" si="20"/>
        <v>-1.4560301499999999</v>
      </c>
    </row>
    <row r="1303" spans="1:3" x14ac:dyDescent="0.3">
      <c r="A1303" s="22">
        <v>7.0999999999999998E-7</v>
      </c>
      <c r="B1303" s="22">
        <v>-2.0590452189999998E-3</v>
      </c>
      <c r="C1303" s="22">
        <f t="shared" si="20"/>
        <v>-2.0590452189999997</v>
      </c>
    </row>
    <row r="1304" spans="1:3" x14ac:dyDescent="0.3">
      <c r="A1304" s="22">
        <v>7.1500000000000004E-7</v>
      </c>
      <c r="B1304" s="22">
        <v>-2.2600502419999999E-3</v>
      </c>
      <c r="C1304" s="22">
        <f t="shared" si="20"/>
        <v>-2.2600502419999997</v>
      </c>
    </row>
    <row r="1305" spans="1:3" x14ac:dyDescent="0.3">
      <c r="A1305" s="22">
        <v>7.1999999999999999E-7</v>
      </c>
      <c r="B1305" s="22">
        <v>-1.8580401959999999E-3</v>
      </c>
      <c r="C1305" s="22">
        <f t="shared" si="20"/>
        <v>-1.8580401959999999</v>
      </c>
    </row>
    <row r="1306" spans="1:3" x14ac:dyDescent="0.3">
      <c r="A1306" s="22">
        <v>7.2500000000000005E-7</v>
      </c>
      <c r="B1306" s="22">
        <v>-2.2600502419999999E-3</v>
      </c>
      <c r="C1306" s="22">
        <f t="shared" si="20"/>
        <v>-2.2600502419999997</v>
      </c>
    </row>
    <row r="1307" spans="1:3" x14ac:dyDescent="0.3">
      <c r="A1307" s="22">
        <v>7.3E-7</v>
      </c>
      <c r="B1307" s="22">
        <v>-1.958542707E-3</v>
      </c>
      <c r="C1307" s="22">
        <f t="shared" si="20"/>
        <v>-1.9585427069999999</v>
      </c>
    </row>
    <row r="1308" spans="1:3" x14ac:dyDescent="0.3">
      <c r="A1308" s="22">
        <v>7.3499999999999995E-7</v>
      </c>
      <c r="B1308" s="22">
        <v>-1.8580401959999999E-3</v>
      </c>
      <c r="C1308" s="22">
        <f t="shared" si="20"/>
        <v>-1.8580401959999999</v>
      </c>
    </row>
    <row r="1309" spans="1:3" x14ac:dyDescent="0.3">
      <c r="A1309" s="22">
        <v>7.4000000000000001E-7</v>
      </c>
      <c r="B1309" s="22">
        <v>-2.6620602880000001E-3</v>
      </c>
      <c r="C1309" s="22">
        <f t="shared" si="20"/>
        <v>-2.6620602880000002</v>
      </c>
    </row>
    <row r="1310" spans="1:3" x14ac:dyDescent="0.3">
      <c r="A1310" s="22">
        <v>7.4499999999999996E-7</v>
      </c>
      <c r="B1310" s="22">
        <v>-3.0640703329999999E-3</v>
      </c>
      <c r="C1310" s="22">
        <f t="shared" si="20"/>
        <v>-3.0640703330000001</v>
      </c>
    </row>
    <row r="1311" spans="1:3" x14ac:dyDescent="0.3">
      <c r="A1311" s="22">
        <v>7.5000000000000002E-7</v>
      </c>
      <c r="B1311" s="22">
        <v>-2.7625627989999999E-3</v>
      </c>
      <c r="C1311" s="22">
        <f t="shared" si="20"/>
        <v>-2.7625627989999999</v>
      </c>
    </row>
    <row r="1312" spans="1:3" x14ac:dyDescent="0.3">
      <c r="A1312" s="22">
        <v>7.5499999999999997E-7</v>
      </c>
      <c r="B1312" s="22">
        <v>-3.1645728450000001E-3</v>
      </c>
      <c r="C1312" s="22">
        <f t="shared" si="20"/>
        <v>-3.1645728450000004</v>
      </c>
    </row>
    <row r="1313" spans="1:3" x14ac:dyDescent="0.3">
      <c r="A1313" s="22">
        <v>7.6000000000000003E-7</v>
      </c>
      <c r="B1313" s="22">
        <v>-2.963567822E-3</v>
      </c>
      <c r="C1313" s="22">
        <f t="shared" si="20"/>
        <v>-2.9635678219999999</v>
      </c>
    </row>
    <row r="1314" spans="1:3" x14ac:dyDescent="0.3">
      <c r="A1314" s="22">
        <v>7.6499999999999998E-7</v>
      </c>
      <c r="B1314" s="22">
        <v>-3.8680904249999998E-3</v>
      </c>
      <c r="C1314" s="22">
        <f t="shared" si="20"/>
        <v>-3.8680904249999997</v>
      </c>
    </row>
    <row r="1315" spans="1:3" x14ac:dyDescent="0.3">
      <c r="A1315" s="22">
        <v>7.7000000000000004E-7</v>
      </c>
      <c r="B1315" s="22">
        <v>-3.5665828909999999E-3</v>
      </c>
      <c r="C1315" s="22">
        <f t="shared" si="20"/>
        <v>-3.5665828909999999</v>
      </c>
    </row>
    <row r="1316" spans="1:3" x14ac:dyDescent="0.3">
      <c r="A1316" s="22">
        <v>7.7499999999999999E-7</v>
      </c>
      <c r="B1316" s="22">
        <v>-3.8680904249999998E-3</v>
      </c>
      <c r="C1316" s="22">
        <f t="shared" si="20"/>
        <v>-3.8680904249999997</v>
      </c>
    </row>
    <row r="1317" spans="1:3" x14ac:dyDescent="0.3">
      <c r="A1317" s="22">
        <v>7.8000000000000005E-7</v>
      </c>
      <c r="B1317" s="22">
        <v>-3.4660803790000001E-3</v>
      </c>
      <c r="C1317" s="22">
        <f t="shared" si="20"/>
        <v>-3.4660803790000001</v>
      </c>
    </row>
    <row r="1318" spans="1:3" x14ac:dyDescent="0.3">
      <c r="A1318" s="22">
        <v>7.85E-7</v>
      </c>
      <c r="B1318" s="22">
        <v>-2.963567822E-3</v>
      </c>
      <c r="C1318" s="22">
        <f t="shared" si="20"/>
        <v>-2.9635678219999999</v>
      </c>
    </row>
    <row r="1319" spans="1:3" x14ac:dyDescent="0.3">
      <c r="A1319" s="22">
        <v>7.8999999999999995E-7</v>
      </c>
      <c r="B1319" s="22">
        <v>-2.6620602880000001E-3</v>
      </c>
      <c r="C1319" s="22">
        <f t="shared" si="20"/>
        <v>-2.6620602880000002</v>
      </c>
    </row>
    <row r="1320" spans="1:3" x14ac:dyDescent="0.3">
      <c r="A1320" s="22">
        <v>7.9500000000000001E-7</v>
      </c>
      <c r="B1320" s="22">
        <v>-3.265075357E-3</v>
      </c>
      <c r="C1320" s="22">
        <f t="shared" si="20"/>
        <v>-3.2650753570000002</v>
      </c>
    </row>
    <row r="1321" spans="1:3" x14ac:dyDescent="0.3">
      <c r="A1321" s="22">
        <v>7.9999999999999996E-7</v>
      </c>
      <c r="B1321" s="22">
        <v>-1.556532661E-3</v>
      </c>
      <c r="C1321" s="22">
        <f t="shared" si="20"/>
        <v>-1.5565326609999999</v>
      </c>
    </row>
    <row r="1322" spans="1:3" x14ac:dyDescent="0.3">
      <c r="A1322" s="22">
        <v>8.0500000000000002E-7</v>
      </c>
      <c r="B1322" s="22">
        <v>-1.4560301499999999E-3</v>
      </c>
      <c r="C1322" s="22">
        <f t="shared" si="20"/>
        <v>-1.4560301499999999</v>
      </c>
    </row>
    <row r="1323" spans="1:3" x14ac:dyDescent="0.3">
      <c r="A1323" s="22">
        <v>8.0999999999999997E-7</v>
      </c>
      <c r="B1323" s="22">
        <v>-2.1595477300000001E-3</v>
      </c>
      <c r="C1323" s="22">
        <f t="shared" si="20"/>
        <v>-2.1595477299999999</v>
      </c>
    </row>
    <row r="1324" spans="1:3" x14ac:dyDescent="0.3">
      <c r="A1324" s="22">
        <v>8.1500000000000003E-7</v>
      </c>
      <c r="B1324" s="22">
        <v>-8.5301508100000005E-4</v>
      </c>
      <c r="C1324" s="22">
        <f t="shared" si="20"/>
        <v>-0.85301508100000001</v>
      </c>
    </row>
    <row r="1325" spans="1:3" x14ac:dyDescent="0.3">
      <c r="A1325" s="22">
        <v>8.1999999999999998E-7</v>
      </c>
      <c r="B1325" s="22">
        <v>-7.52512569E-4</v>
      </c>
      <c r="C1325" s="22">
        <f t="shared" si="20"/>
        <v>-0.75251256899999996</v>
      </c>
    </row>
    <row r="1326" spans="1:3" x14ac:dyDescent="0.3">
      <c r="A1326" s="22">
        <v>8.2500000000000004E-7</v>
      </c>
      <c r="B1326" s="22">
        <v>-2.5000001200000001E-4</v>
      </c>
      <c r="C1326" s="22">
        <f t="shared" si="20"/>
        <v>-0.25000001199999999</v>
      </c>
    </row>
    <row r="1327" spans="1:3" x14ac:dyDescent="0.3">
      <c r="A1327" s="22">
        <v>8.2999999999999999E-7</v>
      </c>
      <c r="B1327" s="22">
        <v>-6.5201005800000005E-4</v>
      </c>
      <c r="C1327" s="22">
        <f t="shared" si="20"/>
        <v>-0.652010058</v>
      </c>
    </row>
    <row r="1328" spans="1:3" x14ac:dyDescent="0.3">
      <c r="A1328" s="22">
        <v>8.3500000000000005E-7</v>
      </c>
      <c r="B1328" s="22">
        <v>-1.4560301499999999E-3</v>
      </c>
      <c r="C1328" s="22">
        <f t="shared" si="20"/>
        <v>-1.4560301499999999</v>
      </c>
    </row>
    <row r="1329" spans="1:3" x14ac:dyDescent="0.3">
      <c r="A1329" s="22">
        <v>8.4E-7</v>
      </c>
      <c r="B1329" s="22">
        <v>-2.5000001200000001E-4</v>
      </c>
      <c r="C1329" s="22">
        <f t="shared" si="20"/>
        <v>-0.25000001199999999</v>
      </c>
    </row>
    <row r="1330" spans="1:3" x14ac:dyDescent="0.3">
      <c r="A1330" s="22">
        <v>8.4499999999999996E-7</v>
      </c>
      <c r="B1330" s="22">
        <v>-1.0540201039999999E-3</v>
      </c>
      <c r="C1330" s="22">
        <f t="shared" si="20"/>
        <v>-1.0540201039999999</v>
      </c>
    </row>
    <row r="1331" spans="1:3" x14ac:dyDescent="0.3">
      <c r="A1331" s="22">
        <v>8.5000000000000001E-7</v>
      </c>
      <c r="B1331" s="22">
        <v>-1.0540201039999999E-3</v>
      </c>
      <c r="C1331" s="22">
        <f t="shared" si="20"/>
        <v>-1.0540201039999999</v>
      </c>
    </row>
    <row r="1332" spans="1:3" x14ac:dyDescent="0.3">
      <c r="A1332" s="22">
        <v>8.5499999999999997E-7</v>
      </c>
      <c r="B1332" s="22">
        <v>-3.5050252300000001E-4</v>
      </c>
      <c r="C1332" s="22">
        <f t="shared" si="20"/>
        <v>-0.35050252300000001</v>
      </c>
    </row>
    <row r="1333" spans="1:3" x14ac:dyDescent="0.3">
      <c r="A1333" s="22">
        <v>8.6000000000000002E-7</v>
      </c>
      <c r="B1333" s="22">
        <v>2.5251254600000002E-4</v>
      </c>
      <c r="C1333" s="22">
        <f t="shared" si="20"/>
        <v>0.252512546</v>
      </c>
    </row>
    <row r="1334" spans="1:3" x14ac:dyDescent="0.3">
      <c r="A1334" s="22">
        <v>8.6499999999999998E-7</v>
      </c>
      <c r="B1334" s="22">
        <v>4.5351756800000002E-4</v>
      </c>
      <c r="C1334" s="22">
        <f t="shared" si="20"/>
        <v>0.45351756800000004</v>
      </c>
    </row>
    <row r="1335" spans="1:3" x14ac:dyDescent="0.3">
      <c r="A1335" s="22">
        <v>8.7000000000000003E-7</v>
      </c>
      <c r="B1335" s="22">
        <v>5.5402008000000002E-4</v>
      </c>
      <c r="C1335" s="22">
        <f t="shared" si="20"/>
        <v>0.55402008000000003</v>
      </c>
    </row>
    <row r="1336" spans="1:3" x14ac:dyDescent="0.3">
      <c r="A1336" s="22">
        <v>8.7499999999999999E-7</v>
      </c>
      <c r="B1336" s="22">
        <v>1.52010034E-4</v>
      </c>
      <c r="C1336" s="22">
        <f t="shared" si="20"/>
        <v>0.15201003400000002</v>
      </c>
    </row>
    <row r="1337" spans="1:3" x14ac:dyDescent="0.3">
      <c r="A1337" s="22">
        <v>8.8000000000000004E-7</v>
      </c>
      <c r="B1337" s="22">
        <v>1.52010034E-4</v>
      </c>
      <c r="C1337" s="22">
        <f t="shared" si="20"/>
        <v>0.15201003400000002</v>
      </c>
    </row>
    <row r="1338" spans="1:3" x14ac:dyDescent="0.3">
      <c r="A1338" s="22">
        <v>8.85E-7</v>
      </c>
      <c r="B1338" s="22">
        <v>2.5251254600000002E-4</v>
      </c>
      <c r="C1338" s="22">
        <f t="shared" si="20"/>
        <v>0.252512546</v>
      </c>
    </row>
    <row r="1339" spans="1:3" x14ac:dyDescent="0.3">
      <c r="A1339" s="22">
        <v>8.8999999999999995E-7</v>
      </c>
      <c r="B1339" s="22">
        <v>-3.5050252300000001E-4</v>
      </c>
      <c r="C1339" s="22">
        <f t="shared" si="20"/>
        <v>-0.35050252300000001</v>
      </c>
    </row>
    <row r="1340" spans="1:3" x14ac:dyDescent="0.3">
      <c r="A1340" s="22">
        <v>8.9500000000000001E-7</v>
      </c>
      <c r="B1340" s="22">
        <v>-6.5201005800000005E-4</v>
      </c>
      <c r="C1340" s="22">
        <f t="shared" si="20"/>
        <v>-0.652010058</v>
      </c>
    </row>
    <row r="1341" spans="1:3" x14ac:dyDescent="0.3">
      <c r="A1341" s="22">
        <v>8.9999999999999996E-7</v>
      </c>
      <c r="B1341" s="22">
        <v>5.1507522999999997E-5</v>
      </c>
      <c r="C1341" s="22">
        <f t="shared" si="20"/>
        <v>5.1507523E-2</v>
      </c>
    </row>
    <row r="1342" spans="1:3" x14ac:dyDescent="0.3">
      <c r="A1342" s="22">
        <v>9.0500000000000002E-7</v>
      </c>
      <c r="B1342" s="22">
        <v>-2.5000001200000001E-4</v>
      </c>
      <c r="C1342" s="22">
        <f t="shared" si="20"/>
        <v>-0.25000001199999999</v>
      </c>
    </row>
    <row r="1343" spans="1:3" x14ac:dyDescent="0.3">
      <c r="A1343" s="22">
        <v>9.0999999999999997E-7</v>
      </c>
      <c r="B1343" s="22">
        <v>-1.0540201039999999E-3</v>
      </c>
      <c r="C1343" s="22">
        <f t="shared" si="20"/>
        <v>-1.0540201039999999</v>
      </c>
    </row>
    <row r="1344" spans="1:3" x14ac:dyDescent="0.3">
      <c r="A1344" s="22">
        <v>9.1500000000000003E-7</v>
      </c>
      <c r="B1344" s="22">
        <v>-6.5201005800000005E-4</v>
      </c>
      <c r="C1344" s="22">
        <f t="shared" si="20"/>
        <v>-0.652010058</v>
      </c>
    </row>
    <row r="1345" spans="1:3" x14ac:dyDescent="0.3">
      <c r="A1345" s="22">
        <v>9.1999999999999998E-7</v>
      </c>
      <c r="B1345" s="22">
        <v>-6.5201005800000005E-4</v>
      </c>
      <c r="C1345" s="22">
        <f t="shared" si="20"/>
        <v>-0.652010058</v>
      </c>
    </row>
    <row r="1346" spans="1:3" x14ac:dyDescent="0.3">
      <c r="A1346" s="22">
        <v>9.2500000000000004E-7</v>
      </c>
      <c r="B1346" s="22">
        <v>-6.5201005800000005E-4</v>
      </c>
      <c r="C1346" s="22">
        <f t="shared" si="20"/>
        <v>-0.652010058</v>
      </c>
    </row>
    <row r="1347" spans="1:3" x14ac:dyDescent="0.3">
      <c r="A1347" s="22">
        <v>9.2999999999999999E-7</v>
      </c>
      <c r="B1347" s="22">
        <v>-6.5201005800000005E-4</v>
      </c>
      <c r="C1347" s="22">
        <f t="shared" si="20"/>
        <v>-0.652010058</v>
      </c>
    </row>
    <row r="1348" spans="1:3" x14ac:dyDescent="0.3">
      <c r="A1348" s="22">
        <v>9.3500000000000005E-7</v>
      </c>
      <c r="B1348" s="22">
        <v>-1.154522615E-3</v>
      </c>
      <c r="C1348" s="22">
        <f t="shared" ref="C1348:C1411" si="21">B1348*10^3</f>
        <v>-1.1545226150000001</v>
      </c>
    </row>
    <row r="1349" spans="1:3" x14ac:dyDescent="0.3">
      <c r="A1349" s="22">
        <v>9.4E-7</v>
      </c>
      <c r="B1349" s="22">
        <v>-1.4560301499999999E-3</v>
      </c>
      <c r="C1349" s="22">
        <f t="shared" si="21"/>
        <v>-1.4560301499999999</v>
      </c>
    </row>
    <row r="1350" spans="1:3" x14ac:dyDescent="0.3">
      <c r="A1350" s="22">
        <v>9.4499999999999995E-7</v>
      </c>
      <c r="B1350" s="22">
        <v>-1.0540201039999999E-3</v>
      </c>
      <c r="C1350" s="22">
        <f t="shared" si="21"/>
        <v>-1.0540201039999999</v>
      </c>
    </row>
    <row r="1351" spans="1:3" x14ac:dyDescent="0.3">
      <c r="A1351" s="22">
        <v>9.5000000000000001E-7</v>
      </c>
      <c r="B1351" s="22">
        <v>-1.8580401959999999E-3</v>
      </c>
      <c r="C1351" s="22">
        <f t="shared" si="21"/>
        <v>-1.8580401959999999</v>
      </c>
    </row>
    <row r="1352" spans="1:3" x14ac:dyDescent="0.3">
      <c r="A1352" s="22">
        <v>9.5499999999999996E-7</v>
      </c>
      <c r="B1352" s="22">
        <v>-1.4560301499999999E-3</v>
      </c>
      <c r="C1352" s="22">
        <f t="shared" si="21"/>
        <v>-1.4560301499999999</v>
      </c>
    </row>
    <row r="1353" spans="1:3" x14ac:dyDescent="0.3">
      <c r="A1353" s="22">
        <v>9.5999999999999991E-7</v>
      </c>
      <c r="B1353" s="22">
        <v>-5.51507546E-4</v>
      </c>
      <c r="C1353" s="22">
        <f t="shared" si="21"/>
        <v>-0.55150754599999996</v>
      </c>
    </row>
    <row r="1354" spans="1:3" x14ac:dyDescent="0.3">
      <c r="A1354" s="22">
        <v>9.6500000000000008E-7</v>
      </c>
      <c r="B1354" s="22">
        <v>-1.7575376840000001E-3</v>
      </c>
      <c r="C1354" s="22">
        <f t="shared" si="21"/>
        <v>-1.7575376840000001</v>
      </c>
    </row>
    <row r="1355" spans="1:3" x14ac:dyDescent="0.3">
      <c r="A1355" s="22">
        <v>9.7000000000000003E-7</v>
      </c>
      <c r="B1355" s="22">
        <v>-1.8580401959999999E-3</v>
      </c>
      <c r="C1355" s="22">
        <f t="shared" si="21"/>
        <v>-1.8580401959999999</v>
      </c>
    </row>
    <row r="1356" spans="1:3" x14ac:dyDescent="0.3">
      <c r="A1356" s="22">
        <v>9.7499999999999998E-7</v>
      </c>
      <c r="B1356" s="22">
        <v>-2.3605527530000002E-3</v>
      </c>
      <c r="C1356" s="22">
        <f t="shared" si="21"/>
        <v>-2.3605527530000003</v>
      </c>
    </row>
    <row r="1357" spans="1:3" x14ac:dyDescent="0.3">
      <c r="A1357" s="22">
        <v>9.7999999999999993E-7</v>
      </c>
      <c r="B1357" s="22">
        <v>-2.1595477300000001E-3</v>
      </c>
      <c r="C1357" s="22">
        <f t="shared" si="21"/>
        <v>-2.1595477299999999</v>
      </c>
    </row>
    <row r="1358" spans="1:3" x14ac:dyDescent="0.3">
      <c r="A1358" s="22">
        <v>9.850000000000001E-7</v>
      </c>
      <c r="B1358" s="22">
        <v>-2.7625627989999999E-3</v>
      </c>
      <c r="C1358" s="22">
        <f t="shared" si="21"/>
        <v>-2.7625627989999999</v>
      </c>
    </row>
    <row r="1359" spans="1:3" x14ac:dyDescent="0.3">
      <c r="A1359" s="22">
        <v>9.9000000000000005E-7</v>
      </c>
      <c r="B1359" s="22">
        <v>-3.4660803790000001E-3</v>
      </c>
      <c r="C1359" s="22">
        <f t="shared" si="21"/>
        <v>-3.4660803790000001</v>
      </c>
    </row>
    <row r="1360" spans="1:3" x14ac:dyDescent="0.3">
      <c r="A1360" s="22">
        <v>9.95E-7</v>
      </c>
      <c r="B1360" s="22">
        <v>-4.6721105170000003E-3</v>
      </c>
      <c r="C1360" s="22">
        <f t="shared" si="21"/>
        <v>-4.6721105170000001</v>
      </c>
    </row>
    <row r="1361" spans="1:3" x14ac:dyDescent="0.3">
      <c r="A1361" s="22">
        <v>9.9999999999999995E-7</v>
      </c>
      <c r="B1361" s="22">
        <v>-5.0741205629999996E-3</v>
      </c>
      <c r="C1361" s="22">
        <f t="shared" si="21"/>
        <v>-5.0741205629999993</v>
      </c>
    </row>
    <row r="1362" spans="1:3" x14ac:dyDescent="0.3">
      <c r="A1362" s="22">
        <v>1.0049999999999999E-6</v>
      </c>
      <c r="B1362" s="22">
        <v>-4.2701004710000001E-3</v>
      </c>
      <c r="C1362" s="22">
        <f t="shared" si="21"/>
        <v>-4.2701004710000001</v>
      </c>
    </row>
    <row r="1363" spans="1:3" x14ac:dyDescent="0.3">
      <c r="A1363" s="22">
        <v>1.0100000000000001E-6</v>
      </c>
      <c r="B1363" s="22">
        <v>-4.2701004710000001E-3</v>
      </c>
      <c r="C1363" s="22">
        <f t="shared" si="21"/>
        <v>-4.2701004710000001</v>
      </c>
    </row>
    <row r="1364" spans="1:3" x14ac:dyDescent="0.3">
      <c r="A1364" s="22">
        <v>1.015E-6</v>
      </c>
      <c r="B1364" s="22">
        <v>-3.5665828909999999E-3</v>
      </c>
      <c r="C1364" s="22">
        <f t="shared" si="21"/>
        <v>-3.5665828909999999</v>
      </c>
    </row>
    <row r="1365" spans="1:3" x14ac:dyDescent="0.3">
      <c r="A1365" s="22">
        <v>1.02E-6</v>
      </c>
      <c r="B1365" s="22">
        <v>-3.8680904249999998E-3</v>
      </c>
      <c r="C1365" s="22">
        <f t="shared" si="21"/>
        <v>-3.8680904249999997</v>
      </c>
    </row>
    <row r="1366" spans="1:3" x14ac:dyDescent="0.3">
      <c r="A1366" s="22">
        <v>1.0249999999999999E-6</v>
      </c>
      <c r="B1366" s="22">
        <v>-3.5665828909999999E-3</v>
      </c>
      <c r="C1366" s="22">
        <f t="shared" si="21"/>
        <v>-3.5665828909999999</v>
      </c>
    </row>
    <row r="1367" spans="1:3" x14ac:dyDescent="0.3">
      <c r="A1367" s="22">
        <v>1.0300000000000001E-6</v>
      </c>
      <c r="B1367" s="22">
        <v>-3.3655778679999998E-3</v>
      </c>
      <c r="C1367" s="22">
        <f t="shared" si="21"/>
        <v>-3.3655778679999999</v>
      </c>
    </row>
    <row r="1368" spans="1:3" x14ac:dyDescent="0.3">
      <c r="A1368" s="22">
        <v>1.035E-6</v>
      </c>
      <c r="B1368" s="22">
        <v>-3.0640703329999999E-3</v>
      </c>
      <c r="C1368" s="22">
        <f t="shared" si="21"/>
        <v>-3.0640703330000001</v>
      </c>
    </row>
    <row r="1369" spans="1:3" x14ac:dyDescent="0.3">
      <c r="A1369" s="22">
        <v>1.04E-6</v>
      </c>
      <c r="B1369" s="22">
        <v>-3.5665828909999999E-3</v>
      </c>
      <c r="C1369" s="22">
        <f t="shared" si="21"/>
        <v>-3.5665828909999999</v>
      </c>
    </row>
    <row r="1370" spans="1:3" x14ac:dyDescent="0.3">
      <c r="A1370" s="22">
        <v>1.0449999999999999E-6</v>
      </c>
      <c r="B1370" s="22">
        <v>-4.2701004710000001E-3</v>
      </c>
      <c r="C1370" s="22">
        <f t="shared" si="21"/>
        <v>-4.2701004710000001</v>
      </c>
    </row>
    <row r="1371" spans="1:3" x14ac:dyDescent="0.3">
      <c r="A1371" s="22">
        <v>1.0499999999999999E-6</v>
      </c>
      <c r="B1371" s="22">
        <v>-3.8680904249999998E-3</v>
      </c>
      <c r="C1371" s="22">
        <f t="shared" si="21"/>
        <v>-3.8680904249999997</v>
      </c>
    </row>
    <row r="1372" spans="1:3" x14ac:dyDescent="0.3">
      <c r="A1372" s="22">
        <v>1.0550000000000001E-6</v>
      </c>
      <c r="B1372" s="22">
        <v>-3.0640703329999999E-3</v>
      </c>
      <c r="C1372" s="22">
        <f t="shared" si="21"/>
        <v>-3.0640703330000001</v>
      </c>
    </row>
    <row r="1373" spans="1:3" x14ac:dyDescent="0.3">
      <c r="A1373" s="22">
        <v>1.06E-6</v>
      </c>
      <c r="B1373" s="22">
        <v>-3.1645728450000001E-3</v>
      </c>
      <c r="C1373" s="22">
        <f t="shared" si="21"/>
        <v>-3.1645728450000004</v>
      </c>
    </row>
    <row r="1374" spans="1:3" x14ac:dyDescent="0.3">
      <c r="A1374" s="22">
        <v>1.065E-6</v>
      </c>
      <c r="B1374" s="22">
        <v>-3.0640703329999999E-3</v>
      </c>
      <c r="C1374" s="22">
        <f t="shared" si="21"/>
        <v>-3.0640703330000001</v>
      </c>
    </row>
    <row r="1375" spans="1:3" x14ac:dyDescent="0.3">
      <c r="A1375" s="22">
        <v>1.0699999999999999E-6</v>
      </c>
      <c r="B1375" s="22">
        <v>-2.6620602880000001E-3</v>
      </c>
      <c r="C1375" s="22">
        <f t="shared" si="21"/>
        <v>-2.6620602880000002</v>
      </c>
    </row>
    <row r="1376" spans="1:3" x14ac:dyDescent="0.3">
      <c r="A1376" s="22">
        <v>1.0750000000000001E-6</v>
      </c>
      <c r="B1376" s="22">
        <v>-1.8580401959999999E-3</v>
      </c>
      <c r="C1376" s="22">
        <f t="shared" si="21"/>
        <v>-1.8580401959999999</v>
      </c>
    </row>
    <row r="1377" spans="1:3" x14ac:dyDescent="0.3">
      <c r="A1377" s="22">
        <v>1.08E-6</v>
      </c>
      <c r="B1377" s="22">
        <v>-6.5201005800000005E-4</v>
      </c>
      <c r="C1377" s="22">
        <f t="shared" si="21"/>
        <v>-0.652010058</v>
      </c>
    </row>
    <row r="1378" spans="1:3" x14ac:dyDescent="0.3">
      <c r="A1378" s="22">
        <v>1.085E-6</v>
      </c>
      <c r="B1378" s="22">
        <v>-7.52512569E-4</v>
      </c>
      <c r="C1378" s="22">
        <f t="shared" si="21"/>
        <v>-0.75251256899999996</v>
      </c>
    </row>
    <row r="1379" spans="1:3" x14ac:dyDescent="0.3">
      <c r="A1379" s="22">
        <v>1.0899999999999999E-6</v>
      </c>
      <c r="B1379" s="22">
        <v>-1.4949749999999999E-4</v>
      </c>
      <c r="C1379" s="22">
        <f t="shared" si="21"/>
        <v>-0.14949749999999998</v>
      </c>
    </row>
    <row r="1380" spans="1:3" x14ac:dyDescent="0.3">
      <c r="A1380" s="22">
        <v>1.0950000000000001E-6</v>
      </c>
      <c r="B1380" s="22">
        <v>5.1507522999999997E-5</v>
      </c>
      <c r="C1380" s="22">
        <f t="shared" si="21"/>
        <v>5.1507523E-2</v>
      </c>
    </row>
    <row r="1381" spans="1:3" x14ac:dyDescent="0.3">
      <c r="A1381" s="22">
        <v>1.1000000000000001E-6</v>
      </c>
      <c r="B1381" s="22">
        <v>1.52010034E-4</v>
      </c>
      <c r="C1381" s="22">
        <f t="shared" si="21"/>
        <v>0.15201003400000002</v>
      </c>
    </row>
    <row r="1382" spans="1:3" x14ac:dyDescent="0.3">
      <c r="A1382" s="22">
        <v>1.105E-6</v>
      </c>
      <c r="B1382" s="22">
        <v>9.56030126E-4</v>
      </c>
      <c r="C1382" s="22">
        <f t="shared" si="21"/>
        <v>0.95603012600000004</v>
      </c>
    </row>
    <row r="1383" spans="1:3" x14ac:dyDescent="0.3">
      <c r="A1383" s="22">
        <v>1.11E-6</v>
      </c>
      <c r="B1383" s="22">
        <v>1.52010034E-4</v>
      </c>
      <c r="C1383" s="22">
        <f t="shared" si="21"/>
        <v>0.15201003400000002</v>
      </c>
    </row>
    <row r="1384" spans="1:3" x14ac:dyDescent="0.3">
      <c r="A1384" s="22">
        <v>1.1149999999999999E-6</v>
      </c>
      <c r="B1384" s="22">
        <v>6.5452259199999996E-4</v>
      </c>
      <c r="C1384" s="22">
        <f t="shared" si="21"/>
        <v>0.65452259199999996</v>
      </c>
    </row>
    <row r="1385" spans="1:3" x14ac:dyDescent="0.3">
      <c r="A1385" s="22">
        <v>1.1200000000000001E-6</v>
      </c>
      <c r="B1385" s="22">
        <v>-2.5000001200000001E-4</v>
      </c>
      <c r="C1385" s="22">
        <f t="shared" si="21"/>
        <v>-0.25000001199999999</v>
      </c>
    </row>
    <row r="1386" spans="1:3" x14ac:dyDescent="0.3">
      <c r="A1386" s="22">
        <v>1.125E-6</v>
      </c>
      <c r="B1386" s="22">
        <v>-2.5000001200000001E-4</v>
      </c>
      <c r="C1386" s="22">
        <f t="shared" si="21"/>
        <v>-0.25000001199999999</v>
      </c>
    </row>
    <row r="1387" spans="1:3" x14ac:dyDescent="0.3">
      <c r="A1387" s="22">
        <v>1.13E-6</v>
      </c>
      <c r="B1387" s="22">
        <v>8.5552761399999996E-4</v>
      </c>
      <c r="C1387" s="22">
        <f t="shared" si="21"/>
        <v>0.85552761399999999</v>
      </c>
    </row>
    <row r="1388" spans="1:3" x14ac:dyDescent="0.3">
      <c r="A1388" s="22">
        <v>1.1349999999999999E-6</v>
      </c>
      <c r="B1388" s="22">
        <v>5.5402008000000002E-4</v>
      </c>
      <c r="C1388" s="22">
        <f t="shared" si="21"/>
        <v>0.55402008000000003</v>
      </c>
    </row>
    <row r="1389" spans="1:3" x14ac:dyDescent="0.3">
      <c r="A1389" s="22">
        <v>1.1400000000000001E-6</v>
      </c>
      <c r="B1389" s="22">
        <v>5.5402008000000002E-4</v>
      </c>
      <c r="C1389" s="22">
        <f t="shared" si="21"/>
        <v>0.55402008000000003</v>
      </c>
    </row>
    <row r="1390" spans="1:3" x14ac:dyDescent="0.3">
      <c r="A1390" s="22">
        <v>1.145E-6</v>
      </c>
      <c r="B1390" s="22">
        <v>5.5402008000000002E-4</v>
      </c>
      <c r="C1390" s="22">
        <f t="shared" si="21"/>
        <v>0.55402008000000003</v>
      </c>
    </row>
    <row r="1391" spans="1:3" x14ac:dyDescent="0.3">
      <c r="A1391" s="22">
        <v>1.15E-6</v>
      </c>
      <c r="B1391" s="22">
        <v>1.52010034E-4</v>
      </c>
      <c r="C1391" s="22">
        <f t="shared" si="21"/>
        <v>0.15201003400000002</v>
      </c>
    </row>
    <row r="1392" spans="1:3" x14ac:dyDescent="0.3">
      <c r="A1392" s="22">
        <v>1.155E-6</v>
      </c>
      <c r="B1392" s="22">
        <v>-2.5000001200000001E-4</v>
      </c>
      <c r="C1392" s="22">
        <f t="shared" si="21"/>
        <v>-0.25000001199999999</v>
      </c>
    </row>
    <row r="1393" spans="1:3" x14ac:dyDescent="0.3">
      <c r="A1393" s="22">
        <v>1.1599999999999999E-6</v>
      </c>
      <c r="B1393" s="22">
        <v>1.52010034E-4</v>
      </c>
      <c r="C1393" s="22">
        <f t="shared" si="21"/>
        <v>0.15201003400000002</v>
      </c>
    </row>
    <row r="1394" spans="1:3" x14ac:dyDescent="0.3">
      <c r="A1394" s="22">
        <v>1.1650000000000001E-6</v>
      </c>
      <c r="B1394" s="22">
        <v>5.1507522999999997E-5</v>
      </c>
      <c r="C1394" s="22">
        <f t="shared" si="21"/>
        <v>5.1507523E-2</v>
      </c>
    </row>
    <row r="1395" spans="1:3" x14ac:dyDescent="0.3">
      <c r="A1395" s="22">
        <v>1.17E-6</v>
      </c>
      <c r="B1395" s="22">
        <v>-1.0540201039999999E-3</v>
      </c>
      <c r="C1395" s="22">
        <f t="shared" si="21"/>
        <v>-1.0540201039999999</v>
      </c>
    </row>
    <row r="1396" spans="1:3" x14ac:dyDescent="0.3">
      <c r="A1396" s="22">
        <v>1.175E-6</v>
      </c>
      <c r="B1396" s="22">
        <v>-7.52512569E-4</v>
      </c>
      <c r="C1396" s="22">
        <f t="shared" si="21"/>
        <v>-0.75251256899999996</v>
      </c>
    </row>
    <row r="1397" spans="1:3" x14ac:dyDescent="0.3">
      <c r="A1397" s="22">
        <v>1.1799999999999999E-6</v>
      </c>
      <c r="B1397" s="22">
        <v>-1.0540201039999999E-3</v>
      </c>
      <c r="C1397" s="22">
        <f t="shared" si="21"/>
        <v>-1.0540201039999999</v>
      </c>
    </row>
    <row r="1398" spans="1:3" x14ac:dyDescent="0.3">
      <c r="A1398" s="22">
        <v>1.1850000000000001E-6</v>
      </c>
      <c r="B1398" s="22">
        <v>-6.5201005800000005E-4</v>
      </c>
      <c r="C1398" s="22">
        <f t="shared" si="21"/>
        <v>-0.652010058</v>
      </c>
    </row>
    <row r="1399" spans="1:3" x14ac:dyDescent="0.3">
      <c r="A1399" s="22">
        <v>1.19E-6</v>
      </c>
      <c r="B1399" s="22">
        <v>-1.4560301499999999E-3</v>
      </c>
      <c r="C1399" s="22">
        <f t="shared" si="21"/>
        <v>-1.4560301499999999</v>
      </c>
    </row>
    <row r="1400" spans="1:3" x14ac:dyDescent="0.3">
      <c r="A1400" s="22">
        <v>1.195E-6</v>
      </c>
      <c r="B1400" s="22">
        <v>-1.8580401959999999E-3</v>
      </c>
      <c r="C1400" s="22">
        <f t="shared" si="21"/>
        <v>-1.8580401959999999</v>
      </c>
    </row>
    <row r="1401" spans="1:3" x14ac:dyDescent="0.3">
      <c r="A1401" s="22">
        <v>1.1999999999999999E-6</v>
      </c>
      <c r="B1401" s="22">
        <v>-2.1595477300000001E-3</v>
      </c>
      <c r="C1401" s="22">
        <f t="shared" si="21"/>
        <v>-2.1595477299999999</v>
      </c>
    </row>
    <row r="1402" spans="1:3" x14ac:dyDescent="0.3">
      <c r="A1402" s="22">
        <v>1.2049999999999999E-6</v>
      </c>
      <c r="B1402" s="22">
        <v>-2.1595477300000001E-3</v>
      </c>
      <c r="C1402" s="22">
        <f t="shared" si="21"/>
        <v>-2.1595477299999999</v>
      </c>
    </row>
    <row r="1403" spans="1:3" x14ac:dyDescent="0.3">
      <c r="A1403" s="22">
        <v>1.2100000000000001E-6</v>
      </c>
      <c r="B1403" s="22">
        <v>-1.8580401959999999E-3</v>
      </c>
      <c r="C1403" s="22">
        <f t="shared" si="21"/>
        <v>-1.8580401959999999</v>
      </c>
    </row>
    <row r="1404" spans="1:3" x14ac:dyDescent="0.3">
      <c r="A1404" s="22">
        <v>1.215E-6</v>
      </c>
      <c r="B1404" s="22">
        <v>-2.5615577759999998E-3</v>
      </c>
      <c r="C1404" s="22">
        <f t="shared" si="21"/>
        <v>-2.5615577759999999</v>
      </c>
    </row>
    <row r="1405" spans="1:3" x14ac:dyDescent="0.3">
      <c r="A1405" s="22">
        <v>1.22E-6</v>
      </c>
      <c r="B1405" s="22">
        <v>-3.5665828909999999E-3</v>
      </c>
      <c r="C1405" s="22">
        <f t="shared" si="21"/>
        <v>-3.5665828909999999</v>
      </c>
    </row>
    <row r="1406" spans="1:3" x14ac:dyDescent="0.3">
      <c r="A1406" s="22">
        <v>1.2249999999999999E-6</v>
      </c>
      <c r="B1406" s="22">
        <v>-3.4660803790000001E-3</v>
      </c>
      <c r="C1406" s="22">
        <f t="shared" si="21"/>
        <v>-3.4660803790000001</v>
      </c>
    </row>
    <row r="1407" spans="1:3" x14ac:dyDescent="0.3">
      <c r="A1407" s="22">
        <v>1.2300000000000001E-6</v>
      </c>
      <c r="B1407" s="22">
        <v>-3.0640703329999999E-3</v>
      </c>
      <c r="C1407" s="22">
        <f t="shared" si="21"/>
        <v>-3.0640703330000001</v>
      </c>
    </row>
    <row r="1408" spans="1:3" x14ac:dyDescent="0.3">
      <c r="A1408" s="22">
        <v>1.235E-6</v>
      </c>
      <c r="B1408" s="22">
        <v>-2.7625627989999999E-3</v>
      </c>
      <c r="C1408" s="22">
        <f t="shared" si="21"/>
        <v>-2.7625627989999999</v>
      </c>
    </row>
    <row r="1409" spans="1:3" x14ac:dyDescent="0.3">
      <c r="A1409" s="22">
        <v>1.24E-6</v>
      </c>
      <c r="B1409" s="22">
        <v>-2.963567822E-3</v>
      </c>
      <c r="C1409" s="22">
        <f t="shared" si="21"/>
        <v>-2.9635678219999999</v>
      </c>
    </row>
    <row r="1410" spans="1:3" x14ac:dyDescent="0.3">
      <c r="A1410" s="22">
        <v>1.2449999999999999E-6</v>
      </c>
      <c r="B1410" s="22">
        <v>-3.4660803790000001E-3</v>
      </c>
      <c r="C1410" s="22">
        <f t="shared" si="21"/>
        <v>-3.4660803790000001</v>
      </c>
    </row>
    <row r="1411" spans="1:3" x14ac:dyDescent="0.3">
      <c r="A1411" s="22">
        <v>1.2500000000000001E-6</v>
      </c>
      <c r="B1411" s="22">
        <v>-3.767587914E-3</v>
      </c>
      <c r="C1411" s="22">
        <f t="shared" si="21"/>
        <v>-3.7675879139999999</v>
      </c>
    </row>
    <row r="1412" spans="1:3" x14ac:dyDescent="0.3">
      <c r="A1412" s="22">
        <v>1.2550000000000001E-6</v>
      </c>
      <c r="B1412" s="22">
        <v>-2.6620602880000001E-3</v>
      </c>
      <c r="C1412" s="22">
        <f t="shared" ref="C1412:C1475" si="22">B1412*10^3</f>
        <v>-2.6620602880000002</v>
      </c>
    </row>
    <row r="1413" spans="1:3" x14ac:dyDescent="0.3">
      <c r="A1413" s="22">
        <v>1.26E-6</v>
      </c>
      <c r="B1413" s="22">
        <v>-1.958542707E-3</v>
      </c>
      <c r="C1413" s="22">
        <f t="shared" si="22"/>
        <v>-1.9585427069999999</v>
      </c>
    </row>
    <row r="1414" spans="1:3" x14ac:dyDescent="0.3">
      <c r="A1414" s="22">
        <v>1.265E-6</v>
      </c>
      <c r="B1414" s="22">
        <v>-2.3605527530000002E-3</v>
      </c>
      <c r="C1414" s="22">
        <f t="shared" si="22"/>
        <v>-2.3605527530000003</v>
      </c>
    </row>
    <row r="1415" spans="1:3" x14ac:dyDescent="0.3">
      <c r="A1415" s="22">
        <v>1.2699999999999999E-6</v>
      </c>
      <c r="B1415" s="22">
        <v>-1.0540201039999999E-3</v>
      </c>
      <c r="C1415" s="22">
        <f t="shared" si="22"/>
        <v>-1.0540201039999999</v>
      </c>
    </row>
    <row r="1416" spans="1:3" x14ac:dyDescent="0.3">
      <c r="A1416" s="22">
        <v>1.2750000000000001E-6</v>
      </c>
      <c r="B1416" s="22">
        <v>-1.8580401959999999E-3</v>
      </c>
      <c r="C1416" s="22">
        <f t="shared" si="22"/>
        <v>-1.8580401959999999</v>
      </c>
    </row>
    <row r="1417" spans="1:3" x14ac:dyDescent="0.3">
      <c r="A1417" s="22">
        <v>1.28E-6</v>
      </c>
      <c r="B1417" s="22">
        <v>-8.5301508100000005E-4</v>
      </c>
      <c r="C1417" s="22">
        <f t="shared" si="22"/>
        <v>-0.85301508100000001</v>
      </c>
    </row>
    <row r="1418" spans="1:3" x14ac:dyDescent="0.3">
      <c r="A1418" s="22">
        <v>1.285E-6</v>
      </c>
      <c r="B1418" s="22">
        <v>-6.5201005800000005E-4</v>
      </c>
      <c r="C1418" s="22">
        <f t="shared" si="22"/>
        <v>-0.652010058</v>
      </c>
    </row>
    <row r="1419" spans="1:3" x14ac:dyDescent="0.3">
      <c r="A1419" s="22">
        <v>1.2899999999999999E-6</v>
      </c>
      <c r="B1419" s="22">
        <v>-6.5201005800000005E-4</v>
      </c>
      <c r="C1419" s="22">
        <f t="shared" si="22"/>
        <v>-0.652010058</v>
      </c>
    </row>
    <row r="1420" spans="1:3" x14ac:dyDescent="0.3">
      <c r="A1420" s="22">
        <v>1.2950000000000001E-6</v>
      </c>
      <c r="B1420" s="22">
        <v>5.1507522999999997E-5</v>
      </c>
      <c r="C1420" s="22">
        <f t="shared" si="22"/>
        <v>5.1507523E-2</v>
      </c>
    </row>
    <row r="1421" spans="1:3" x14ac:dyDescent="0.3">
      <c r="A1421" s="22">
        <v>1.3E-6</v>
      </c>
      <c r="B1421" s="22">
        <v>-6.5201005800000005E-4</v>
      </c>
      <c r="C1421" s="22">
        <f t="shared" si="22"/>
        <v>-0.652010058</v>
      </c>
    </row>
    <row r="1422" spans="1:3" x14ac:dyDescent="0.3">
      <c r="A1422" s="22">
        <v>1.305E-6</v>
      </c>
      <c r="B1422" s="22">
        <v>1.5590451950000001E-3</v>
      </c>
      <c r="C1422" s="22">
        <f t="shared" si="22"/>
        <v>1.5590451950000002</v>
      </c>
    </row>
    <row r="1423" spans="1:3" x14ac:dyDescent="0.3">
      <c r="A1423" s="22">
        <v>1.31E-6</v>
      </c>
      <c r="B1423" s="22">
        <v>4.5351756800000002E-4</v>
      </c>
      <c r="C1423" s="22">
        <f t="shared" si="22"/>
        <v>0.45351756800000004</v>
      </c>
    </row>
    <row r="1424" spans="1:3" x14ac:dyDescent="0.3">
      <c r="A1424" s="22">
        <v>1.3149999999999999E-6</v>
      </c>
      <c r="B1424" s="22">
        <v>5.5402008000000002E-4</v>
      </c>
      <c r="C1424" s="22">
        <f t="shared" si="22"/>
        <v>0.55402008000000003</v>
      </c>
    </row>
    <row r="1425" spans="1:3" x14ac:dyDescent="0.3">
      <c r="A1425" s="22">
        <v>1.3200000000000001E-6</v>
      </c>
      <c r="B1425" s="22">
        <v>9.56030126E-4</v>
      </c>
      <c r="C1425" s="22">
        <f t="shared" si="22"/>
        <v>0.95603012600000004</v>
      </c>
    </row>
    <row r="1426" spans="1:3" x14ac:dyDescent="0.3">
      <c r="A1426" s="22">
        <v>1.325E-6</v>
      </c>
      <c r="B1426" s="22">
        <v>6.5452259199999996E-4</v>
      </c>
      <c r="C1426" s="22">
        <f t="shared" si="22"/>
        <v>0.65452259199999996</v>
      </c>
    </row>
    <row r="1427" spans="1:3" x14ac:dyDescent="0.3">
      <c r="A1427" s="22">
        <v>1.33E-6</v>
      </c>
      <c r="B1427" s="22">
        <v>9.56030126E-4</v>
      </c>
      <c r="C1427" s="22">
        <f t="shared" si="22"/>
        <v>0.95603012600000004</v>
      </c>
    </row>
    <row r="1428" spans="1:3" x14ac:dyDescent="0.3">
      <c r="A1428" s="22">
        <v>1.3349999999999999E-6</v>
      </c>
      <c r="B1428" s="22">
        <v>1.52010034E-4</v>
      </c>
      <c r="C1428" s="22">
        <f t="shared" si="22"/>
        <v>0.15201003400000002</v>
      </c>
    </row>
    <row r="1429" spans="1:3" x14ac:dyDescent="0.3">
      <c r="A1429" s="22">
        <v>1.3400000000000001E-6</v>
      </c>
      <c r="B1429" s="22">
        <v>2.5251254600000002E-4</v>
      </c>
      <c r="C1429" s="22">
        <f t="shared" si="22"/>
        <v>0.252512546</v>
      </c>
    </row>
    <row r="1430" spans="1:3" x14ac:dyDescent="0.3">
      <c r="A1430" s="22">
        <v>1.345E-6</v>
      </c>
      <c r="B1430" s="22">
        <v>1.52010034E-4</v>
      </c>
      <c r="C1430" s="22">
        <f t="shared" si="22"/>
        <v>0.15201003400000002</v>
      </c>
    </row>
    <row r="1431" spans="1:3" x14ac:dyDescent="0.3">
      <c r="A1431" s="22">
        <v>1.35E-6</v>
      </c>
      <c r="B1431" s="22">
        <v>6.5452259199999996E-4</v>
      </c>
      <c r="C1431" s="22">
        <f t="shared" si="22"/>
        <v>0.65452259199999996</v>
      </c>
    </row>
    <row r="1432" spans="1:3" x14ac:dyDescent="0.3">
      <c r="A1432" s="22">
        <v>1.3549999999999999E-6</v>
      </c>
      <c r="B1432" s="22">
        <v>1.458542683E-3</v>
      </c>
      <c r="C1432" s="22">
        <f t="shared" si="22"/>
        <v>1.4585426830000001</v>
      </c>
    </row>
    <row r="1433" spans="1:3" x14ac:dyDescent="0.3">
      <c r="A1433" s="22">
        <v>1.3599999999999999E-6</v>
      </c>
      <c r="B1433" s="22">
        <v>-1.4949749999999999E-4</v>
      </c>
      <c r="C1433" s="22">
        <f t="shared" si="22"/>
        <v>-0.14949749999999998</v>
      </c>
    </row>
    <row r="1434" spans="1:3" x14ac:dyDescent="0.3">
      <c r="A1434" s="22">
        <v>1.3650000000000001E-6</v>
      </c>
      <c r="B1434" s="22">
        <v>2.5251254600000002E-4</v>
      </c>
      <c r="C1434" s="22">
        <f t="shared" si="22"/>
        <v>0.252512546</v>
      </c>
    </row>
    <row r="1435" spans="1:3" x14ac:dyDescent="0.3">
      <c r="A1435" s="22">
        <v>1.37E-6</v>
      </c>
      <c r="B1435" s="22">
        <v>-1.4949749999999999E-4</v>
      </c>
      <c r="C1435" s="22">
        <f t="shared" si="22"/>
        <v>-0.14949749999999998</v>
      </c>
    </row>
    <row r="1436" spans="1:3" x14ac:dyDescent="0.3">
      <c r="A1436" s="22">
        <v>1.375E-6</v>
      </c>
      <c r="B1436" s="22">
        <v>5.5402008000000002E-4</v>
      </c>
      <c r="C1436" s="22">
        <f t="shared" si="22"/>
        <v>0.55402008000000003</v>
      </c>
    </row>
    <row r="1437" spans="1:3" x14ac:dyDescent="0.3">
      <c r="A1437" s="22">
        <v>1.3799999999999999E-6</v>
      </c>
      <c r="B1437" s="22">
        <v>5.1507522999999997E-5</v>
      </c>
      <c r="C1437" s="22">
        <f t="shared" si="22"/>
        <v>5.1507523E-2</v>
      </c>
    </row>
    <row r="1438" spans="1:3" x14ac:dyDescent="0.3">
      <c r="A1438" s="22">
        <v>1.3850000000000001E-6</v>
      </c>
      <c r="B1438" s="22">
        <v>4.5351756800000002E-4</v>
      </c>
      <c r="C1438" s="22">
        <f t="shared" si="22"/>
        <v>0.45351756800000004</v>
      </c>
    </row>
    <row r="1439" spans="1:3" x14ac:dyDescent="0.3">
      <c r="A1439" s="22">
        <v>1.39E-6</v>
      </c>
      <c r="B1439" s="22">
        <v>-2.5000001200000001E-4</v>
      </c>
      <c r="C1439" s="22">
        <f t="shared" si="22"/>
        <v>-0.25000001199999999</v>
      </c>
    </row>
    <row r="1440" spans="1:3" x14ac:dyDescent="0.3">
      <c r="A1440" s="22">
        <v>1.395E-6</v>
      </c>
      <c r="B1440" s="22">
        <v>1.52010034E-4</v>
      </c>
      <c r="C1440" s="22">
        <f t="shared" si="22"/>
        <v>0.15201003400000002</v>
      </c>
    </row>
    <row r="1441" spans="1:3" x14ac:dyDescent="0.3">
      <c r="A1441" s="22">
        <v>1.3999999999999999E-6</v>
      </c>
      <c r="B1441" s="22">
        <v>-5.51507546E-4</v>
      </c>
      <c r="C1441" s="22">
        <f t="shared" si="22"/>
        <v>-0.55150754599999996</v>
      </c>
    </row>
    <row r="1442" spans="1:3" x14ac:dyDescent="0.3">
      <c r="A1442" s="22">
        <v>1.4050000000000001E-6</v>
      </c>
      <c r="B1442" s="22">
        <v>-1.4560301499999999E-3</v>
      </c>
      <c r="C1442" s="22">
        <f t="shared" si="22"/>
        <v>-1.4560301499999999</v>
      </c>
    </row>
    <row r="1443" spans="1:3" x14ac:dyDescent="0.3">
      <c r="A1443" s="22">
        <v>1.4100000000000001E-6</v>
      </c>
      <c r="B1443" s="22">
        <v>-1.4560301499999999E-3</v>
      </c>
      <c r="C1443" s="22">
        <f t="shared" si="22"/>
        <v>-1.4560301499999999</v>
      </c>
    </row>
    <row r="1444" spans="1:3" x14ac:dyDescent="0.3">
      <c r="A1444" s="22">
        <v>1.415E-6</v>
      </c>
      <c r="B1444" s="22">
        <v>-8.5301508100000005E-4</v>
      </c>
      <c r="C1444" s="22">
        <f t="shared" si="22"/>
        <v>-0.85301508100000001</v>
      </c>
    </row>
    <row r="1445" spans="1:3" x14ac:dyDescent="0.3">
      <c r="A1445" s="22">
        <v>1.42E-6</v>
      </c>
      <c r="B1445" s="22">
        <v>-1.154522615E-3</v>
      </c>
      <c r="C1445" s="22">
        <f t="shared" si="22"/>
        <v>-1.1545226150000001</v>
      </c>
    </row>
    <row r="1446" spans="1:3" x14ac:dyDescent="0.3">
      <c r="A1446" s="22">
        <v>1.4249999999999999E-6</v>
      </c>
      <c r="B1446" s="22">
        <v>-1.3555276380000001E-3</v>
      </c>
      <c r="C1446" s="22">
        <f t="shared" si="22"/>
        <v>-1.3555276380000001</v>
      </c>
    </row>
    <row r="1447" spans="1:3" x14ac:dyDescent="0.3">
      <c r="A1447" s="22">
        <v>1.4300000000000001E-6</v>
      </c>
      <c r="B1447" s="22">
        <v>-1.8580401959999999E-3</v>
      </c>
      <c r="C1447" s="22">
        <f t="shared" si="22"/>
        <v>-1.8580401959999999</v>
      </c>
    </row>
    <row r="1448" spans="1:3" x14ac:dyDescent="0.3">
      <c r="A1448" s="22">
        <v>1.435E-6</v>
      </c>
      <c r="B1448" s="22">
        <v>-2.6620602880000001E-3</v>
      </c>
      <c r="C1448" s="22">
        <f t="shared" si="22"/>
        <v>-2.6620602880000002</v>
      </c>
    </row>
    <row r="1449" spans="1:3" x14ac:dyDescent="0.3">
      <c r="A1449" s="22">
        <v>1.44E-6</v>
      </c>
      <c r="B1449" s="22">
        <v>-2.2600502419999999E-3</v>
      </c>
      <c r="C1449" s="22">
        <f t="shared" si="22"/>
        <v>-2.2600502419999997</v>
      </c>
    </row>
    <row r="1450" spans="1:3" x14ac:dyDescent="0.3">
      <c r="A1450" s="22">
        <v>1.4449999999999999E-6</v>
      </c>
      <c r="B1450" s="22">
        <v>-3.0640703329999999E-3</v>
      </c>
      <c r="C1450" s="22">
        <f t="shared" si="22"/>
        <v>-3.0640703330000001</v>
      </c>
    </row>
    <row r="1451" spans="1:3" x14ac:dyDescent="0.3">
      <c r="A1451" s="22">
        <v>1.4500000000000001E-6</v>
      </c>
      <c r="B1451" s="22">
        <v>-2.3605527530000002E-3</v>
      </c>
      <c r="C1451" s="22">
        <f t="shared" si="22"/>
        <v>-2.3605527530000003</v>
      </c>
    </row>
    <row r="1452" spans="1:3" x14ac:dyDescent="0.3">
      <c r="A1452" s="22">
        <v>1.455E-6</v>
      </c>
      <c r="B1452" s="22">
        <v>-2.3605527530000002E-3</v>
      </c>
      <c r="C1452" s="22">
        <f t="shared" si="22"/>
        <v>-2.3605527530000003</v>
      </c>
    </row>
    <row r="1453" spans="1:3" x14ac:dyDescent="0.3">
      <c r="A1453" s="22">
        <v>1.46E-6</v>
      </c>
      <c r="B1453" s="22">
        <v>-2.2600502419999999E-3</v>
      </c>
      <c r="C1453" s="22">
        <f t="shared" si="22"/>
        <v>-2.2600502419999997</v>
      </c>
    </row>
    <row r="1454" spans="1:3" x14ac:dyDescent="0.3">
      <c r="A1454" s="22">
        <v>1.4649999999999999E-6</v>
      </c>
      <c r="B1454" s="22">
        <v>-2.3605527530000002E-3</v>
      </c>
      <c r="C1454" s="22">
        <f t="shared" si="22"/>
        <v>-2.3605527530000003</v>
      </c>
    </row>
    <row r="1455" spans="1:3" x14ac:dyDescent="0.3">
      <c r="A1455" s="22">
        <v>1.4699999999999999E-6</v>
      </c>
      <c r="B1455" s="22">
        <v>-1.8580401959999999E-3</v>
      </c>
      <c r="C1455" s="22">
        <f t="shared" si="22"/>
        <v>-1.8580401959999999</v>
      </c>
    </row>
    <row r="1456" spans="1:3" x14ac:dyDescent="0.3">
      <c r="A1456" s="22">
        <v>1.4750000000000001E-6</v>
      </c>
      <c r="B1456" s="22">
        <v>-2.2600502419999999E-3</v>
      </c>
      <c r="C1456" s="22">
        <f t="shared" si="22"/>
        <v>-2.2600502419999997</v>
      </c>
    </row>
    <row r="1457" spans="1:3" x14ac:dyDescent="0.3">
      <c r="A1457" s="22">
        <v>1.48E-6</v>
      </c>
      <c r="B1457" s="22">
        <v>-2.1595477300000001E-3</v>
      </c>
      <c r="C1457" s="22">
        <f t="shared" si="22"/>
        <v>-2.1595477299999999</v>
      </c>
    </row>
    <row r="1458" spans="1:3" x14ac:dyDescent="0.3">
      <c r="A1458" s="22">
        <v>1.485E-6</v>
      </c>
      <c r="B1458" s="22">
        <v>-1.4560301499999999E-3</v>
      </c>
      <c r="C1458" s="22">
        <f t="shared" si="22"/>
        <v>-1.4560301499999999</v>
      </c>
    </row>
    <row r="1459" spans="1:3" x14ac:dyDescent="0.3">
      <c r="A1459" s="22">
        <v>1.4899999999999999E-6</v>
      </c>
      <c r="B1459" s="22">
        <v>-2.2600502419999999E-3</v>
      </c>
      <c r="C1459" s="22">
        <f t="shared" si="22"/>
        <v>-2.2600502419999997</v>
      </c>
    </row>
    <row r="1460" spans="1:3" x14ac:dyDescent="0.3">
      <c r="A1460" s="22">
        <v>1.4950000000000001E-6</v>
      </c>
      <c r="B1460" s="22">
        <v>-7.52512569E-4</v>
      </c>
      <c r="C1460" s="22">
        <f t="shared" si="22"/>
        <v>-0.75251256899999996</v>
      </c>
    </row>
    <row r="1461" spans="1:3" x14ac:dyDescent="0.3">
      <c r="A1461" s="22">
        <v>1.5E-6</v>
      </c>
      <c r="B1461" s="22">
        <v>-1.7575376840000001E-3</v>
      </c>
      <c r="C1461" s="22">
        <f t="shared" si="22"/>
        <v>-1.7575376840000001</v>
      </c>
    </row>
    <row r="1462" spans="1:3" x14ac:dyDescent="0.3">
      <c r="A1462" s="22">
        <v>1.505E-6</v>
      </c>
      <c r="B1462" s="22">
        <v>-1.7575376840000001E-3</v>
      </c>
      <c r="C1462" s="22">
        <f t="shared" si="22"/>
        <v>-1.7575376840000001</v>
      </c>
    </row>
    <row r="1463" spans="1:3" x14ac:dyDescent="0.3">
      <c r="A1463" s="22">
        <v>1.5099999999999999E-6</v>
      </c>
      <c r="B1463" s="22">
        <v>-1.3555276380000001E-3</v>
      </c>
      <c r="C1463" s="22">
        <f t="shared" si="22"/>
        <v>-1.3555276380000001</v>
      </c>
    </row>
    <row r="1464" spans="1:3" x14ac:dyDescent="0.3">
      <c r="A1464" s="22">
        <v>1.5149999999999999E-6</v>
      </c>
      <c r="B1464" s="22">
        <v>-1.8580401959999999E-3</v>
      </c>
      <c r="C1464" s="22">
        <f t="shared" si="22"/>
        <v>-1.8580401959999999</v>
      </c>
    </row>
    <row r="1465" spans="1:3" x14ac:dyDescent="0.3">
      <c r="A1465" s="22">
        <v>1.5200000000000001E-6</v>
      </c>
      <c r="B1465" s="22">
        <v>-1.4560301499999999E-3</v>
      </c>
      <c r="C1465" s="22">
        <f t="shared" si="22"/>
        <v>-1.4560301499999999</v>
      </c>
    </row>
    <row r="1466" spans="1:3" x14ac:dyDescent="0.3">
      <c r="A1466" s="22">
        <v>1.525E-6</v>
      </c>
      <c r="B1466" s="22">
        <v>-1.154522615E-3</v>
      </c>
      <c r="C1466" s="22">
        <f t="shared" si="22"/>
        <v>-1.1545226150000001</v>
      </c>
    </row>
    <row r="1467" spans="1:3" x14ac:dyDescent="0.3">
      <c r="A1467" s="22">
        <v>1.53E-6</v>
      </c>
      <c r="B1467" s="22">
        <v>-1.4949749999999999E-4</v>
      </c>
      <c r="C1467" s="22">
        <f t="shared" si="22"/>
        <v>-0.14949749999999998</v>
      </c>
    </row>
    <row r="1468" spans="1:3" x14ac:dyDescent="0.3">
      <c r="A1468" s="22">
        <v>1.5349999999999999E-6</v>
      </c>
      <c r="B1468" s="22">
        <v>5.5402008000000002E-4</v>
      </c>
      <c r="C1468" s="22">
        <f t="shared" si="22"/>
        <v>0.55402008000000003</v>
      </c>
    </row>
    <row r="1469" spans="1:3" x14ac:dyDescent="0.3">
      <c r="A1469" s="22">
        <v>1.5400000000000001E-6</v>
      </c>
      <c r="B1469" s="22">
        <v>5.5402008000000002E-4</v>
      </c>
      <c r="C1469" s="22">
        <f t="shared" si="22"/>
        <v>0.55402008000000003</v>
      </c>
    </row>
    <row r="1470" spans="1:3" x14ac:dyDescent="0.3">
      <c r="A1470" s="22">
        <v>1.545E-6</v>
      </c>
      <c r="B1470" s="22">
        <v>-2.5000001200000001E-4</v>
      </c>
      <c r="C1470" s="22">
        <f t="shared" si="22"/>
        <v>-0.25000001199999999</v>
      </c>
    </row>
    <row r="1471" spans="1:3" x14ac:dyDescent="0.3">
      <c r="A1471" s="22">
        <v>1.55E-6</v>
      </c>
      <c r="B1471" s="22">
        <v>-9.5351759199999999E-4</v>
      </c>
      <c r="C1471" s="22">
        <f t="shared" si="22"/>
        <v>-0.95351759199999997</v>
      </c>
    </row>
    <row r="1472" spans="1:3" x14ac:dyDescent="0.3">
      <c r="A1472" s="22">
        <v>1.5549999999999999E-6</v>
      </c>
      <c r="B1472" s="22">
        <v>-2.5000001200000001E-4</v>
      </c>
      <c r="C1472" s="22">
        <f t="shared" si="22"/>
        <v>-0.25000001199999999</v>
      </c>
    </row>
    <row r="1473" spans="1:3" x14ac:dyDescent="0.3">
      <c r="A1473" s="22">
        <v>1.5600000000000001E-6</v>
      </c>
      <c r="B1473" s="22">
        <v>-5.51507546E-4</v>
      </c>
      <c r="C1473" s="22">
        <f t="shared" si="22"/>
        <v>-0.55150754599999996</v>
      </c>
    </row>
    <row r="1474" spans="1:3" x14ac:dyDescent="0.3">
      <c r="A1474" s="22">
        <v>1.5650000000000001E-6</v>
      </c>
      <c r="B1474" s="22">
        <v>-6.5201005800000005E-4</v>
      </c>
      <c r="C1474" s="22">
        <f t="shared" si="22"/>
        <v>-0.652010058</v>
      </c>
    </row>
    <row r="1475" spans="1:3" x14ac:dyDescent="0.3">
      <c r="A1475" s="22">
        <v>1.57E-6</v>
      </c>
      <c r="B1475" s="22">
        <v>-2.5000001200000001E-4</v>
      </c>
      <c r="C1475" s="22">
        <f t="shared" si="22"/>
        <v>-0.25000001199999999</v>
      </c>
    </row>
    <row r="1476" spans="1:3" x14ac:dyDescent="0.3">
      <c r="A1476" s="22">
        <v>1.575E-6</v>
      </c>
      <c r="B1476" s="22">
        <v>-2.5000001200000001E-4</v>
      </c>
      <c r="C1476" s="22">
        <f t="shared" ref="C1476:C1539" si="23">B1476*10^3</f>
        <v>-0.25000001199999999</v>
      </c>
    </row>
    <row r="1477" spans="1:3" x14ac:dyDescent="0.3">
      <c r="A1477" s="22">
        <v>1.5799999999999999E-6</v>
      </c>
      <c r="B1477" s="22">
        <v>-2.5000001200000001E-4</v>
      </c>
      <c r="C1477" s="22">
        <f t="shared" si="23"/>
        <v>-0.25000001199999999</v>
      </c>
    </row>
    <row r="1478" spans="1:3" x14ac:dyDescent="0.3">
      <c r="A1478" s="22">
        <v>1.5850000000000001E-6</v>
      </c>
      <c r="B1478" s="22">
        <v>1.52010034E-4</v>
      </c>
      <c r="C1478" s="22">
        <f t="shared" si="23"/>
        <v>0.15201003400000002</v>
      </c>
    </row>
    <row r="1479" spans="1:3" x14ac:dyDescent="0.3">
      <c r="A1479" s="22">
        <v>1.59E-6</v>
      </c>
      <c r="B1479" s="22">
        <v>9.56030126E-4</v>
      </c>
      <c r="C1479" s="22">
        <f t="shared" si="23"/>
        <v>0.95603012600000004</v>
      </c>
    </row>
    <row r="1480" spans="1:3" x14ac:dyDescent="0.3">
      <c r="A1480" s="22">
        <v>1.595E-6</v>
      </c>
      <c r="B1480" s="22">
        <v>1.52010034E-4</v>
      </c>
      <c r="C1480" s="22">
        <f t="shared" si="23"/>
        <v>0.15201003400000002</v>
      </c>
    </row>
    <row r="1481" spans="1:3" x14ac:dyDescent="0.3">
      <c r="A1481" s="22">
        <v>1.5999999999999999E-6</v>
      </c>
      <c r="B1481" s="22">
        <v>-6.5201005800000005E-4</v>
      </c>
      <c r="C1481" s="22">
        <f t="shared" si="23"/>
        <v>-0.652010058</v>
      </c>
    </row>
    <row r="1482" spans="1:3" x14ac:dyDescent="0.3">
      <c r="A1482" s="22">
        <v>1.6050000000000001E-6</v>
      </c>
      <c r="B1482" s="22">
        <v>-1.4560301499999999E-3</v>
      </c>
      <c r="C1482" s="22">
        <f t="shared" si="23"/>
        <v>-1.4560301499999999</v>
      </c>
    </row>
    <row r="1483" spans="1:3" x14ac:dyDescent="0.3">
      <c r="A1483" s="22">
        <v>1.61E-6</v>
      </c>
      <c r="B1483" s="22">
        <v>-3.5050252300000001E-4</v>
      </c>
      <c r="C1483" s="22">
        <f t="shared" si="23"/>
        <v>-0.35050252300000001</v>
      </c>
    </row>
    <row r="1484" spans="1:3" x14ac:dyDescent="0.3">
      <c r="A1484" s="22">
        <v>1.615E-6</v>
      </c>
      <c r="B1484" s="22">
        <v>-7.52512569E-4</v>
      </c>
      <c r="C1484" s="22">
        <f t="shared" si="23"/>
        <v>-0.75251256899999996</v>
      </c>
    </row>
    <row r="1485" spans="1:3" x14ac:dyDescent="0.3">
      <c r="A1485" s="22">
        <v>1.6199999999999999E-6</v>
      </c>
      <c r="B1485" s="22">
        <v>-1.8580401959999999E-3</v>
      </c>
      <c r="C1485" s="22">
        <f t="shared" si="23"/>
        <v>-1.8580401959999999</v>
      </c>
    </row>
    <row r="1486" spans="1:3" x14ac:dyDescent="0.3">
      <c r="A1486" s="22">
        <v>1.6249999999999999E-6</v>
      </c>
      <c r="B1486" s="22">
        <v>-1.4560301499999999E-3</v>
      </c>
      <c r="C1486" s="22">
        <f t="shared" si="23"/>
        <v>-1.4560301499999999</v>
      </c>
    </row>
    <row r="1487" spans="1:3" x14ac:dyDescent="0.3">
      <c r="A1487" s="22">
        <v>1.6300000000000001E-6</v>
      </c>
      <c r="B1487" s="22">
        <v>-1.958542707E-3</v>
      </c>
      <c r="C1487" s="22">
        <f t="shared" si="23"/>
        <v>-1.9585427069999999</v>
      </c>
    </row>
    <row r="1488" spans="1:3" x14ac:dyDescent="0.3">
      <c r="A1488" s="22">
        <v>1.635E-6</v>
      </c>
      <c r="B1488" s="22">
        <v>-6.5201005800000005E-4</v>
      </c>
      <c r="C1488" s="22">
        <f t="shared" si="23"/>
        <v>-0.652010058</v>
      </c>
    </row>
    <row r="1489" spans="1:3" x14ac:dyDescent="0.3">
      <c r="A1489" s="22">
        <v>1.64E-6</v>
      </c>
      <c r="B1489" s="22">
        <v>-1.154522615E-3</v>
      </c>
      <c r="C1489" s="22">
        <f t="shared" si="23"/>
        <v>-1.1545226150000001</v>
      </c>
    </row>
    <row r="1490" spans="1:3" x14ac:dyDescent="0.3">
      <c r="A1490" s="22">
        <v>1.6449999999999999E-6</v>
      </c>
      <c r="B1490" s="22">
        <v>-1.4560301499999999E-3</v>
      </c>
      <c r="C1490" s="22">
        <f t="shared" si="23"/>
        <v>-1.4560301499999999</v>
      </c>
    </row>
    <row r="1491" spans="1:3" x14ac:dyDescent="0.3">
      <c r="A1491" s="22">
        <v>1.6500000000000001E-6</v>
      </c>
      <c r="B1491" s="22">
        <v>-1.0540201039999999E-3</v>
      </c>
      <c r="C1491" s="22">
        <f t="shared" si="23"/>
        <v>-1.0540201039999999</v>
      </c>
    </row>
    <row r="1492" spans="1:3" x14ac:dyDescent="0.3">
      <c r="A1492" s="22">
        <v>1.655E-6</v>
      </c>
      <c r="B1492" s="22">
        <v>-1.4560301499999999E-3</v>
      </c>
      <c r="C1492" s="22">
        <f t="shared" si="23"/>
        <v>-1.4560301499999999</v>
      </c>
    </row>
    <row r="1493" spans="1:3" x14ac:dyDescent="0.3">
      <c r="A1493" s="22">
        <v>1.66E-6</v>
      </c>
      <c r="B1493" s="22">
        <v>-1.4560301499999999E-3</v>
      </c>
      <c r="C1493" s="22">
        <f t="shared" si="23"/>
        <v>-1.4560301499999999</v>
      </c>
    </row>
    <row r="1494" spans="1:3" x14ac:dyDescent="0.3">
      <c r="A1494" s="22">
        <v>1.6649999999999999E-6</v>
      </c>
      <c r="B1494" s="22">
        <v>-1.4560301499999999E-3</v>
      </c>
      <c r="C1494" s="22">
        <f t="shared" si="23"/>
        <v>-1.4560301499999999</v>
      </c>
    </row>
    <row r="1495" spans="1:3" x14ac:dyDescent="0.3">
      <c r="A1495" s="22">
        <v>1.6700000000000001E-6</v>
      </c>
      <c r="B1495" s="22">
        <v>-1.255025127E-3</v>
      </c>
      <c r="C1495" s="22">
        <f t="shared" si="23"/>
        <v>-1.2550251270000001</v>
      </c>
    </row>
    <row r="1496" spans="1:3" x14ac:dyDescent="0.3">
      <c r="A1496" s="22">
        <v>1.6750000000000001E-6</v>
      </c>
      <c r="B1496" s="22">
        <v>-1.3555276380000001E-3</v>
      </c>
      <c r="C1496" s="22">
        <f t="shared" si="23"/>
        <v>-1.3555276380000001</v>
      </c>
    </row>
    <row r="1497" spans="1:3" x14ac:dyDescent="0.3">
      <c r="A1497" s="22">
        <v>1.68E-6</v>
      </c>
      <c r="B1497" s="22">
        <v>-1.4560301499999999E-3</v>
      </c>
      <c r="C1497" s="22">
        <f t="shared" si="23"/>
        <v>-1.4560301499999999</v>
      </c>
    </row>
    <row r="1498" spans="1:3" x14ac:dyDescent="0.3">
      <c r="A1498" s="22">
        <v>1.685E-6</v>
      </c>
      <c r="B1498" s="22">
        <v>-2.1595477300000001E-3</v>
      </c>
      <c r="C1498" s="22">
        <f t="shared" si="23"/>
        <v>-2.1595477299999999</v>
      </c>
    </row>
    <row r="1499" spans="1:3" x14ac:dyDescent="0.3">
      <c r="A1499" s="22">
        <v>1.6899999999999999E-6</v>
      </c>
      <c r="B1499" s="22">
        <v>-1.0540201039999999E-3</v>
      </c>
      <c r="C1499" s="22">
        <f t="shared" si="23"/>
        <v>-1.0540201039999999</v>
      </c>
    </row>
    <row r="1500" spans="1:3" x14ac:dyDescent="0.3">
      <c r="A1500" s="22">
        <v>1.6950000000000001E-6</v>
      </c>
      <c r="B1500" s="22">
        <v>-1.154522615E-3</v>
      </c>
      <c r="C1500" s="22">
        <f t="shared" si="23"/>
        <v>-1.1545226150000001</v>
      </c>
    </row>
    <row r="1501" spans="1:3" x14ac:dyDescent="0.3">
      <c r="A1501" s="22">
        <v>1.7E-6</v>
      </c>
      <c r="B1501" s="22">
        <v>-1.4560301499999999E-3</v>
      </c>
      <c r="C1501" s="22">
        <f t="shared" si="23"/>
        <v>-1.4560301499999999</v>
      </c>
    </row>
    <row r="1502" spans="1:3" x14ac:dyDescent="0.3">
      <c r="A1502" s="22">
        <v>1.705E-6</v>
      </c>
      <c r="B1502" s="22">
        <v>-2.461055265E-3</v>
      </c>
      <c r="C1502" s="22">
        <f t="shared" si="23"/>
        <v>-2.4610552650000002</v>
      </c>
    </row>
    <row r="1503" spans="1:3" x14ac:dyDescent="0.3">
      <c r="A1503" s="22">
        <v>1.7099999999999999E-6</v>
      </c>
      <c r="B1503" s="22">
        <v>-2.5615577759999998E-3</v>
      </c>
      <c r="C1503" s="22">
        <f t="shared" si="23"/>
        <v>-2.5615577759999999</v>
      </c>
    </row>
    <row r="1504" spans="1:3" x14ac:dyDescent="0.3">
      <c r="A1504" s="22">
        <v>1.7150000000000001E-6</v>
      </c>
      <c r="B1504" s="22">
        <v>-1.8580401959999999E-3</v>
      </c>
      <c r="C1504" s="22">
        <f t="shared" si="23"/>
        <v>-1.8580401959999999</v>
      </c>
    </row>
    <row r="1505" spans="1:3" x14ac:dyDescent="0.3">
      <c r="A1505" s="22">
        <v>1.72E-6</v>
      </c>
      <c r="B1505" s="22">
        <v>-2.3605527530000002E-3</v>
      </c>
      <c r="C1505" s="22">
        <f t="shared" si="23"/>
        <v>-2.3605527530000003</v>
      </c>
    </row>
    <row r="1506" spans="1:3" x14ac:dyDescent="0.3">
      <c r="A1506" s="22">
        <v>1.725E-6</v>
      </c>
      <c r="B1506" s="22">
        <v>-1.958542707E-3</v>
      </c>
      <c r="C1506" s="22">
        <f t="shared" si="23"/>
        <v>-1.9585427069999999</v>
      </c>
    </row>
    <row r="1507" spans="1:3" x14ac:dyDescent="0.3">
      <c r="A1507" s="22">
        <v>1.73E-6</v>
      </c>
      <c r="B1507" s="22">
        <v>-2.2600502419999999E-3</v>
      </c>
      <c r="C1507" s="22">
        <f t="shared" si="23"/>
        <v>-2.2600502419999997</v>
      </c>
    </row>
    <row r="1508" spans="1:3" x14ac:dyDescent="0.3">
      <c r="A1508" s="22">
        <v>1.7349999999999999E-6</v>
      </c>
      <c r="B1508" s="22">
        <v>-1.8580401959999999E-3</v>
      </c>
      <c r="C1508" s="22">
        <f t="shared" si="23"/>
        <v>-1.8580401959999999</v>
      </c>
    </row>
    <row r="1509" spans="1:3" x14ac:dyDescent="0.3">
      <c r="A1509" s="22">
        <v>1.7400000000000001E-6</v>
      </c>
      <c r="B1509" s="22">
        <v>-1.556532661E-3</v>
      </c>
      <c r="C1509" s="22">
        <f t="shared" si="23"/>
        <v>-1.5565326609999999</v>
      </c>
    </row>
    <row r="1510" spans="1:3" x14ac:dyDescent="0.3">
      <c r="A1510" s="22">
        <v>1.745E-6</v>
      </c>
      <c r="B1510" s="22">
        <v>-1.4560301499999999E-3</v>
      </c>
      <c r="C1510" s="22">
        <f t="shared" si="23"/>
        <v>-1.4560301499999999</v>
      </c>
    </row>
    <row r="1511" spans="1:3" x14ac:dyDescent="0.3">
      <c r="A1511" s="22">
        <v>1.75E-6</v>
      </c>
      <c r="B1511" s="22">
        <v>-9.5351759199999999E-4</v>
      </c>
      <c r="C1511" s="22">
        <f t="shared" si="23"/>
        <v>-0.95351759199999997</v>
      </c>
    </row>
    <row r="1512" spans="1:3" x14ac:dyDescent="0.3">
      <c r="A1512" s="22">
        <v>1.7549999999999999E-6</v>
      </c>
      <c r="B1512" s="22">
        <v>-1.0540201039999999E-3</v>
      </c>
      <c r="C1512" s="22">
        <f t="shared" si="23"/>
        <v>-1.0540201039999999</v>
      </c>
    </row>
    <row r="1513" spans="1:3" x14ac:dyDescent="0.3">
      <c r="A1513" s="22">
        <v>1.7600000000000001E-6</v>
      </c>
      <c r="B1513" s="22">
        <v>-1.3555276380000001E-3</v>
      </c>
      <c r="C1513" s="22">
        <f t="shared" si="23"/>
        <v>-1.3555276380000001</v>
      </c>
    </row>
    <row r="1514" spans="1:3" x14ac:dyDescent="0.3">
      <c r="A1514" s="22">
        <v>1.765E-6</v>
      </c>
      <c r="B1514" s="22">
        <v>-1.154522615E-3</v>
      </c>
      <c r="C1514" s="22">
        <f t="shared" si="23"/>
        <v>-1.1545226150000001</v>
      </c>
    </row>
    <row r="1515" spans="1:3" x14ac:dyDescent="0.3">
      <c r="A1515" s="22">
        <v>1.77E-6</v>
      </c>
      <c r="B1515" s="22">
        <v>-1.4560301499999999E-3</v>
      </c>
      <c r="C1515" s="22">
        <f t="shared" si="23"/>
        <v>-1.4560301499999999</v>
      </c>
    </row>
    <row r="1516" spans="1:3" x14ac:dyDescent="0.3">
      <c r="A1516" s="22">
        <v>1.7749999999999999E-6</v>
      </c>
      <c r="B1516" s="22">
        <v>-7.52512569E-4</v>
      </c>
      <c r="C1516" s="22">
        <f t="shared" si="23"/>
        <v>-0.75251256899999996</v>
      </c>
    </row>
    <row r="1517" spans="1:3" x14ac:dyDescent="0.3">
      <c r="A1517" s="22">
        <v>1.7799999999999999E-6</v>
      </c>
      <c r="B1517" s="22">
        <v>-3.5050252300000001E-4</v>
      </c>
      <c r="C1517" s="22">
        <f t="shared" si="23"/>
        <v>-0.35050252300000001</v>
      </c>
    </row>
    <row r="1518" spans="1:3" x14ac:dyDescent="0.3">
      <c r="A1518" s="22">
        <v>1.7850000000000001E-6</v>
      </c>
      <c r="B1518" s="22">
        <v>-3.5050252300000001E-4</v>
      </c>
      <c r="C1518" s="22">
        <f t="shared" si="23"/>
        <v>-0.35050252300000001</v>
      </c>
    </row>
    <row r="1519" spans="1:3" x14ac:dyDescent="0.3">
      <c r="A1519" s="22">
        <v>1.79E-6</v>
      </c>
      <c r="B1519" s="22">
        <v>9.56030126E-4</v>
      </c>
      <c r="C1519" s="22">
        <f t="shared" si="23"/>
        <v>0.95603012600000004</v>
      </c>
    </row>
    <row r="1520" spans="1:3" x14ac:dyDescent="0.3">
      <c r="A1520" s="22">
        <v>1.795E-6</v>
      </c>
      <c r="B1520" s="22">
        <v>5.5402008000000002E-4</v>
      </c>
      <c r="C1520" s="22">
        <f t="shared" si="23"/>
        <v>0.55402008000000003</v>
      </c>
    </row>
    <row r="1521" spans="1:3" x14ac:dyDescent="0.3">
      <c r="A1521" s="22">
        <v>1.7999999999999999E-6</v>
      </c>
      <c r="B1521" s="22">
        <v>-3.5050252300000001E-4</v>
      </c>
      <c r="C1521" s="22">
        <f t="shared" si="23"/>
        <v>-0.35050252300000001</v>
      </c>
    </row>
    <row r="1522" spans="1:3" x14ac:dyDescent="0.3">
      <c r="A1522" s="22">
        <v>1.8050000000000001E-6</v>
      </c>
      <c r="B1522" s="22">
        <v>1.52010034E-4</v>
      </c>
      <c r="C1522" s="22">
        <f t="shared" si="23"/>
        <v>0.15201003400000002</v>
      </c>
    </row>
    <row r="1523" spans="1:3" x14ac:dyDescent="0.3">
      <c r="A1523" s="22">
        <v>1.81E-6</v>
      </c>
      <c r="B1523" s="22">
        <v>-1.4949749999999999E-4</v>
      </c>
      <c r="C1523" s="22">
        <f t="shared" si="23"/>
        <v>-0.14949749999999998</v>
      </c>
    </row>
    <row r="1524" spans="1:3" x14ac:dyDescent="0.3">
      <c r="A1524" s="22">
        <v>1.815E-6</v>
      </c>
      <c r="B1524" s="22">
        <v>-2.5000001200000001E-4</v>
      </c>
      <c r="C1524" s="22">
        <f t="shared" si="23"/>
        <v>-0.25000001199999999</v>
      </c>
    </row>
    <row r="1525" spans="1:3" x14ac:dyDescent="0.3">
      <c r="A1525" s="22">
        <v>1.8199999999999999E-6</v>
      </c>
      <c r="B1525" s="22">
        <v>1.52010034E-4</v>
      </c>
      <c r="C1525" s="22">
        <f t="shared" si="23"/>
        <v>0.15201003400000002</v>
      </c>
    </row>
    <row r="1526" spans="1:3" x14ac:dyDescent="0.3">
      <c r="A1526" s="22">
        <v>1.8250000000000001E-6</v>
      </c>
      <c r="B1526" s="22">
        <v>-6.5201005800000005E-4</v>
      </c>
      <c r="C1526" s="22">
        <f t="shared" si="23"/>
        <v>-0.652010058</v>
      </c>
    </row>
    <row r="1527" spans="1:3" x14ac:dyDescent="0.3">
      <c r="A1527" s="22">
        <v>1.8300000000000001E-6</v>
      </c>
      <c r="B1527" s="22">
        <v>-6.5201005800000005E-4</v>
      </c>
      <c r="C1527" s="22">
        <f t="shared" si="23"/>
        <v>-0.652010058</v>
      </c>
    </row>
    <row r="1528" spans="1:3" x14ac:dyDescent="0.3">
      <c r="A1528" s="22">
        <v>1.835E-6</v>
      </c>
      <c r="B1528" s="22">
        <v>-1.3555276380000001E-3</v>
      </c>
      <c r="C1528" s="22">
        <f t="shared" si="23"/>
        <v>-1.3555276380000001</v>
      </c>
    </row>
    <row r="1529" spans="1:3" x14ac:dyDescent="0.3">
      <c r="A1529" s="22">
        <v>1.84E-6</v>
      </c>
      <c r="B1529" s="22">
        <v>-1.958542707E-3</v>
      </c>
      <c r="C1529" s="22">
        <f t="shared" si="23"/>
        <v>-1.9585427069999999</v>
      </c>
    </row>
    <row r="1530" spans="1:3" x14ac:dyDescent="0.3">
      <c r="A1530" s="22">
        <v>1.8449999999999999E-6</v>
      </c>
      <c r="B1530" s="22">
        <v>-7.52512569E-4</v>
      </c>
      <c r="C1530" s="22">
        <f t="shared" si="23"/>
        <v>-0.75251256899999996</v>
      </c>
    </row>
    <row r="1531" spans="1:3" x14ac:dyDescent="0.3">
      <c r="A1531" s="22">
        <v>1.8500000000000001E-6</v>
      </c>
      <c r="B1531" s="22">
        <v>-1.4560301499999999E-3</v>
      </c>
      <c r="C1531" s="22">
        <f t="shared" si="23"/>
        <v>-1.4560301499999999</v>
      </c>
    </row>
    <row r="1532" spans="1:3" x14ac:dyDescent="0.3">
      <c r="A1532" s="22">
        <v>1.855E-6</v>
      </c>
      <c r="B1532" s="22">
        <v>-6.5201005800000005E-4</v>
      </c>
      <c r="C1532" s="22">
        <f t="shared" si="23"/>
        <v>-0.652010058</v>
      </c>
    </row>
    <row r="1533" spans="1:3" x14ac:dyDescent="0.3">
      <c r="A1533" s="22">
        <v>1.86E-6</v>
      </c>
      <c r="B1533" s="22">
        <v>-1.4560301499999999E-3</v>
      </c>
      <c r="C1533" s="22">
        <f t="shared" si="23"/>
        <v>-1.4560301499999999</v>
      </c>
    </row>
    <row r="1534" spans="1:3" x14ac:dyDescent="0.3">
      <c r="A1534" s="22">
        <v>1.8649999999999999E-6</v>
      </c>
      <c r="B1534" s="22">
        <v>-1.0540201039999999E-3</v>
      </c>
      <c r="C1534" s="22">
        <f t="shared" si="23"/>
        <v>-1.0540201039999999</v>
      </c>
    </row>
    <row r="1535" spans="1:3" x14ac:dyDescent="0.3">
      <c r="A1535" s="22">
        <v>1.8700000000000001E-6</v>
      </c>
      <c r="B1535" s="22">
        <v>-1.556532661E-3</v>
      </c>
      <c r="C1535" s="22">
        <f t="shared" si="23"/>
        <v>-1.5565326609999999</v>
      </c>
    </row>
    <row r="1536" spans="1:3" x14ac:dyDescent="0.3">
      <c r="A1536" s="22">
        <v>1.875E-6</v>
      </c>
      <c r="B1536" s="22">
        <v>-1.4560301499999999E-3</v>
      </c>
      <c r="C1536" s="22">
        <f t="shared" si="23"/>
        <v>-1.4560301499999999</v>
      </c>
    </row>
    <row r="1537" spans="1:3" x14ac:dyDescent="0.3">
      <c r="A1537" s="22">
        <v>1.88E-6</v>
      </c>
      <c r="B1537" s="22">
        <v>-6.5201005800000005E-4</v>
      </c>
      <c r="C1537" s="22">
        <f t="shared" si="23"/>
        <v>-0.652010058</v>
      </c>
    </row>
    <row r="1538" spans="1:3" x14ac:dyDescent="0.3">
      <c r="A1538" s="22">
        <v>1.885E-6</v>
      </c>
      <c r="B1538" s="22">
        <v>-1.4560301499999999E-3</v>
      </c>
      <c r="C1538" s="22">
        <f t="shared" si="23"/>
        <v>-1.4560301499999999</v>
      </c>
    </row>
    <row r="1539" spans="1:3" x14ac:dyDescent="0.3">
      <c r="A1539" s="22">
        <v>1.8899999999999999E-6</v>
      </c>
      <c r="B1539" s="22">
        <v>-1.8580401959999999E-3</v>
      </c>
      <c r="C1539" s="22">
        <f t="shared" si="23"/>
        <v>-1.8580401959999999</v>
      </c>
    </row>
    <row r="1540" spans="1:3" x14ac:dyDescent="0.3">
      <c r="A1540" s="22">
        <v>1.8950000000000001E-6</v>
      </c>
      <c r="B1540" s="22">
        <v>-1.4560301499999999E-3</v>
      </c>
      <c r="C1540" s="22">
        <f t="shared" ref="C1540:C1603" si="24">B1540*10^3</f>
        <v>-1.4560301499999999</v>
      </c>
    </row>
    <row r="1541" spans="1:3" x14ac:dyDescent="0.3">
      <c r="A1541" s="22">
        <v>1.9E-6</v>
      </c>
      <c r="B1541" s="22">
        <v>-1.4560301499999999E-3</v>
      </c>
      <c r="C1541" s="22">
        <f t="shared" si="24"/>
        <v>-1.4560301499999999</v>
      </c>
    </row>
    <row r="1542" spans="1:3" x14ac:dyDescent="0.3">
      <c r="A1542" s="22">
        <v>1.905E-6</v>
      </c>
      <c r="B1542" s="22">
        <v>-1.4560301499999999E-3</v>
      </c>
      <c r="C1542" s="22">
        <f t="shared" si="24"/>
        <v>-1.4560301499999999</v>
      </c>
    </row>
    <row r="1543" spans="1:3" x14ac:dyDescent="0.3">
      <c r="A1543" s="22">
        <v>1.9099999999999999E-6</v>
      </c>
      <c r="B1543" s="22">
        <v>-1.8580401959999999E-3</v>
      </c>
      <c r="C1543" s="22">
        <f t="shared" si="24"/>
        <v>-1.8580401959999999</v>
      </c>
    </row>
    <row r="1544" spans="1:3" x14ac:dyDescent="0.3">
      <c r="A1544" s="22">
        <v>1.9149999999999999E-6</v>
      </c>
      <c r="B1544" s="22">
        <v>-1.0540201039999999E-3</v>
      </c>
      <c r="C1544" s="22">
        <f t="shared" si="24"/>
        <v>-1.0540201039999999</v>
      </c>
    </row>
    <row r="1545" spans="1:3" x14ac:dyDescent="0.3">
      <c r="A1545" s="22">
        <v>1.9199999999999998E-6</v>
      </c>
      <c r="B1545" s="22">
        <v>-1.8580401959999999E-3</v>
      </c>
      <c r="C1545" s="22">
        <f t="shared" si="24"/>
        <v>-1.8580401959999999</v>
      </c>
    </row>
    <row r="1546" spans="1:3" x14ac:dyDescent="0.3">
      <c r="A1546" s="22">
        <v>1.9250000000000002E-6</v>
      </c>
      <c r="B1546" s="22">
        <v>-1.8580401959999999E-3</v>
      </c>
      <c r="C1546" s="22">
        <f t="shared" si="24"/>
        <v>-1.8580401959999999</v>
      </c>
    </row>
    <row r="1547" spans="1:3" x14ac:dyDescent="0.3">
      <c r="A1547" s="22">
        <v>1.9300000000000002E-6</v>
      </c>
      <c r="B1547" s="22">
        <v>-2.1595477300000001E-3</v>
      </c>
      <c r="C1547" s="22">
        <f t="shared" si="24"/>
        <v>-2.1595477299999999</v>
      </c>
    </row>
    <row r="1548" spans="1:3" x14ac:dyDescent="0.3">
      <c r="A1548" s="22">
        <v>1.9350000000000001E-6</v>
      </c>
      <c r="B1548" s="22">
        <v>-1.958542707E-3</v>
      </c>
      <c r="C1548" s="22">
        <f t="shared" si="24"/>
        <v>-1.9585427069999999</v>
      </c>
    </row>
    <row r="1549" spans="1:3" x14ac:dyDescent="0.3">
      <c r="A1549" s="22">
        <v>1.9400000000000001E-6</v>
      </c>
      <c r="B1549" s="22">
        <v>-9.5351759199999999E-4</v>
      </c>
      <c r="C1549" s="22">
        <f t="shared" si="24"/>
        <v>-0.95351759199999997</v>
      </c>
    </row>
    <row r="1550" spans="1:3" x14ac:dyDescent="0.3">
      <c r="A1550" s="22">
        <v>1.945E-6</v>
      </c>
      <c r="B1550" s="22">
        <v>-1.4560301499999999E-3</v>
      </c>
      <c r="C1550" s="22">
        <f t="shared" si="24"/>
        <v>-1.4560301499999999</v>
      </c>
    </row>
    <row r="1551" spans="1:3" x14ac:dyDescent="0.3">
      <c r="A1551" s="22">
        <v>1.95E-6</v>
      </c>
      <c r="B1551" s="22">
        <v>-2.0590452189999998E-3</v>
      </c>
      <c r="C1551" s="22">
        <f t="shared" si="24"/>
        <v>-2.0590452189999997</v>
      </c>
    </row>
    <row r="1552" spans="1:3" x14ac:dyDescent="0.3">
      <c r="A1552" s="22">
        <v>1.9549999999999999E-6</v>
      </c>
      <c r="B1552" s="22">
        <v>-2.1595477300000001E-3</v>
      </c>
      <c r="C1552" s="22">
        <f t="shared" si="24"/>
        <v>-2.1595477299999999</v>
      </c>
    </row>
    <row r="1553" spans="1:3" x14ac:dyDescent="0.3">
      <c r="A1553" s="22">
        <v>1.9599999999999999E-6</v>
      </c>
      <c r="B1553" s="22">
        <v>-1.4560301499999999E-3</v>
      </c>
      <c r="C1553" s="22">
        <f t="shared" si="24"/>
        <v>-1.4560301499999999</v>
      </c>
    </row>
    <row r="1554" spans="1:3" x14ac:dyDescent="0.3">
      <c r="A1554" s="22">
        <v>1.9649999999999998E-6</v>
      </c>
      <c r="B1554" s="22">
        <v>-1.8580401959999999E-3</v>
      </c>
      <c r="C1554" s="22">
        <f t="shared" si="24"/>
        <v>-1.8580401959999999</v>
      </c>
    </row>
    <row r="1555" spans="1:3" x14ac:dyDescent="0.3">
      <c r="A1555" s="22">
        <v>1.9700000000000002E-6</v>
      </c>
      <c r="B1555" s="22">
        <v>-1.4560301499999999E-3</v>
      </c>
      <c r="C1555" s="22">
        <f t="shared" si="24"/>
        <v>-1.4560301499999999</v>
      </c>
    </row>
    <row r="1556" spans="1:3" x14ac:dyDescent="0.3">
      <c r="A1556" s="22">
        <v>1.9750000000000001E-6</v>
      </c>
      <c r="B1556" s="22">
        <v>-1.556532661E-3</v>
      </c>
      <c r="C1556" s="22">
        <f t="shared" si="24"/>
        <v>-1.5565326609999999</v>
      </c>
    </row>
    <row r="1557" spans="1:3" x14ac:dyDescent="0.3">
      <c r="A1557" s="22">
        <v>1.9800000000000001E-6</v>
      </c>
      <c r="B1557" s="22">
        <v>-1.8580401959999999E-3</v>
      </c>
      <c r="C1557" s="22">
        <f t="shared" si="24"/>
        <v>-1.8580401959999999</v>
      </c>
    </row>
    <row r="1558" spans="1:3" x14ac:dyDescent="0.3">
      <c r="A1558" s="22">
        <v>1.9850000000000001E-6</v>
      </c>
      <c r="B1558" s="22">
        <v>-2.2600502419999999E-3</v>
      </c>
      <c r="C1558" s="22">
        <f t="shared" si="24"/>
        <v>-2.2600502419999997</v>
      </c>
    </row>
    <row r="1559" spans="1:3" x14ac:dyDescent="0.3">
      <c r="A1559" s="22">
        <v>1.99E-6</v>
      </c>
      <c r="B1559" s="22">
        <v>-9.5351759199999999E-4</v>
      </c>
      <c r="C1559" s="22">
        <f t="shared" si="24"/>
        <v>-0.95351759199999997</v>
      </c>
    </row>
    <row r="1560" spans="1:3" x14ac:dyDescent="0.3">
      <c r="A1560" s="22">
        <v>1.995E-6</v>
      </c>
      <c r="B1560" s="22">
        <v>-2.5000001200000001E-4</v>
      </c>
      <c r="C1560" s="22">
        <f t="shared" si="24"/>
        <v>-0.25000001199999999</v>
      </c>
    </row>
    <row r="1561" spans="1:3" x14ac:dyDescent="0.3">
      <c r="A1561" s="22">
        <v>1.9999999999999999E-6</v>
      </c>
      <c r="B1561" s="22">
        <v>-2.5000001200000001E-4</v>
      </c>
      <c r="C1561" s="22">
        <f t="shared" si="24"/>
        <v>-0.25000001199999999</v>
      </c>
    </row>
    <row r="1562" spans="1:3" x14ac:dyDescent="0.3">
      <c r="A1562" s="22">
        <v>2.0049999999999999E-6</v>
      </c>
      <c r="B1562" s="22">
        <v>1.52010034E-4</v>
      </c>
      <c r="C1562" s="22">
        <f t="shared" si="24"/>
        <v>0.15201003400000002</v>
      </c>
    </row>
    <row r="1563" spans="1:3" x14ac:dyDescent="0.3">
      <c r="A1563" s="22">
        <v>2.0099999999999998E-6</v>
      </c>
      <c r="B1563" s="22">
        <v>-1.4949749999999999E-4</v>
      </c>
      <c r="C1563" s="22">
        <f t="shared" si="24"/>
        <v>-0.14949749999999998</v>
      </c>
    </row>
    <row r="1564" spans="1:3" x14ac:dyDescent="0.3">
      <c r="A1564" s="22">
        <v>2.0150000000000002E-6</v>
      </c>
      <c r="B1564" s="22">
        <v>4.5351756800000002E-4</v>
      </c>
      <c r="C1564" s="22">
        <f t="shared" si="24"/>
        <v>0.45351756800000004</v>
      </c>
    </row>
    <row r="1565" spans="1:3" x14ac:dyDescent="0.3">
      <c r="A1565" s="22">
        <v>2.0200000000000001E-6</v>
      </c>
      <c r="B1565" s="22">
        <v>-6.5201005800000005E-4</v>
      </c>
      <c r="C1565" s="22">
        <f t="shared" si="24"/>
        <v>-0.652010058</v>
      </c>
    </row>
    <row r="1566" spans="1:3" x14ac:dyDescent="0.3">
      <c r="A1566" s="22">
        <v>2.0250000000000001E-6</v>
      </c>
      <c r="B1566" s="22">
        <v>-1.4949749999999999E-4</v>
      </c>
      <c r="C1566" s="22">
        <f t="shared" si="24"/>
        <v>-0.14949749999999998</v>
      </c>
    </row>
    <row r="1567" spans="1:3" x14ac:dyDescent="0.3">
      <c r="A1567" s="22">
        <v>2.03E-6</v>
      </c>
      <c r="B1567" s="22">
        <v>1.52010034E-4</v>
      </c>
      <c r="C1567" s="22">
        <f t="shared" si="24"/>
        <v>0.15201003400000002</v>
      </c>
    </row>
    <row r="1568" spans="1:3" x14ac:dyDescent="0.3">
      <c r="A1568" s="22">
        <v>2.035E-6</v>
      </c>
      <c r="B1568" s="22">
        <v>-6.5201005800000005E-4</v>
      </c>
      <c r="C1568" s="22">
        <f t="shared" si="24"/>
        <v>-0.652010058</v>
      </c>
    </row>
    <row r="1569" spans="1:3" x14ac:dyDescent="0.3">
      <c r="A1569" s="22">
        <v>2.04E-6</v>
      </c>
      <c r="B1569" s="22">
        <v>-5.51507546E-4</v>
      </c>
      <c r="C1569" s="22">
        <f t="shared" si="24"/>
        <v>-0.55150754599999996</v>
      </c>
    </row>
    <row r="1570" spans="1:3" x14ac:dyDescent="0.3">
      <c r="A1570" s="22">
        <v>2.0449999999999999E-6</v>
      </c>
      <c r="B1570" s="22">
        <v>-6.5201005800000005E-4</v>
      </c>
      <c r="C1570" s="22">
        <f t="shared" si="24"/>
        <v>-0.652010058</v>
      </c>
    </row>
    <row r="1571" spans="1:3" x14ac:dyDescent="0.3">
      <c r="A1571" s="22">
        <v>2.0499999999999999E-6</v>
      </c>
      <c r="B1571" s="22">
        <v>-6.5201005800000005E-4</v>
      </c>
      <c r="C1571" s="22">
        <f t="shared" si="24"/>
        <v>-0.652010058</v>
      </c>
    </row>
    <row r="1572" spans="1:3" x14ac:dyDescent="0.3">
      <c r="A1572" s="22">
        <v>2.0549999999999998E-6</v>
      </c>
      <c r="B1572" s="22">
        <v>-6.5201005800000005E-4</v>
      </c>
      <c r="C1572" s="22">
        <f t="shared" si="24"/>
        <v>-0.652010058</v>
      </c>
    </row>
    <row r="1573" spans="1:3" x14ac:dyDescent="0.3">
      <c r="A1573" s="22">
        <v>2.0600000000000002E-6</v>
      </c>
      <c r="B1573" s="22">
        <v>-1.4560301499999999E-3</v>
      </c>
      <c r="C1573" s="22">
        <f t="shared" si="24"/>
        <v>-1.4560301499999999</v>
      </c>
    </row>
    <row r="1574" spans="1:3" x14ac:dyDescent="0.3">
      <c r="A1574" s="22">
        <v>2.0650000000000001E-6</v>
      </c>
      <c r="B1574" s="22">
        <v>-2.2600502419999999E-3</v>
      </c>
      <c r="C1574" s="22">
        <f t="shared" si="24"/>
        <v>-2.2600502419999997</v>
      </c>
    </row>
    <row r="1575" spans="1:3" x14ac:dyDescent="0.3">
      <c r="A1575" s="22">
        <v>2.0700000000000001E-6</v>
      </c>
      <c r="B1575" s="22">
        <v>-1.154522615E-3</v>
      </c>
      <c r="C1575" s="22">
        <f t="shared" si="24"/>
        <v>-1.1545226150000001</v>
      </c>
    </row>
    <row r="1576" spans="1:3" x14ac:dyDescent="0.3">
      <c r="A1576" s="22">
        <v>2.075E-6</v>
      </c>
      <c r="B1576" s="22">
        <v>-1.4560301499999999E-3</v>
      </c>
      <c r="C1576" s="22">
        <f t="shared" si="24"/>
        <v>-1.4560301499999999</v>
      </c>
    </row>
    <row r="1577" spans="1:3" x14ac:dyDescent="0.3">
      <c r="A1577" s="22">
        <v>2.08E-6</v>
      </c>
      <c r="B1577" s="22">
        <v>-1.3555276380000001E-3</v>
      </c>
      <c r="C1577" s="22">
        <f t="shared" si="24"/>
        <v>-1.3555276380000001</v>
      </c>
    </row>
    <row r="1578" spans="1:3" x14ac:dyDescent="0.3">
      <c r="A1578" s="22">
        <v>2.0849999999999999E-6</v>
      </c>
      <c r="B1578" s="22">
        <v>-1.4560301499999999E-3</v>
      </c>
      <c r="C1578" s="22">
        <f t="shared" si="24"/>
        <v>-1.4560301499999999</v>
      </c>
    </row>
    <row r="1579" spans="1:3" x14ac:dyDescent="0.3">
      <c r="A1579" s="22">
        <v>2.0899999999999999E-6</v>
      </c>
      <c r="B1579" s="22">
        <v>-1.8580401959999999E-3</v>
      </c>
      <c r="C1579" s="22">
        <f t="shared" si="24"/>
        <v>-1.8580401959999999</v>
      </c>
    </row>
    <row r="1580" spans="1:3" x14ac:dyDescent="0.3">
      <c r="A1580" s="22">
        <v>2.0949999999999998E-6</v>
      </c>
      <c r="B1580" s="22">
        <v>-2.2600502419999999E-3</v>
      </c>
      <c r="C1580" s="22">
        <f t="shared" si="24"/>
        <v>-2.2600502419999997</v>
      </c>
    </row>
    <row r="1581" spans="1:3" x14ac:dyDescent="0.3">
      <c r="A1581" s="22">
        <v>2.0999999999999998E-6</v>
      </c>
      <c r="B1581" s="22">
        <v>-3.8680904249999998E-3</v>
      </c>
      <c r="C1581" s="22">
        <f t="shared" si="24"/>
        <v>-3.8680904249999997</v>
      </c>
    </row>
    <row r="1582" spans="1:3" x14ac:dyDescent="0.3">
      <c r="A1582" s="22">
        <v>2.1050000000000002E-6</v>
      </c>
      <c r="B1582" s="22">
        <v>-3.0640703329999999E-3</v>
      </c>
      <c r="C1582" s="22">
        <f t="shared" si="24"/>
        <v>-3.0640703330000001</v>
      </c>
    </row>
    <row r="1583" spans="1:3" x14ac:dyDescent="0.3">
      <c r="A1583" s="22">
        <v>2.1100000000000001E-6</v>
      </c>
      <c r="B1583" s="22">
        <v>-3.3655778679999998E-3</v>
      </c>
      <c r="C1583" s="22">
        <f t="shared" si="24"/>
        <v>-3.3655778679999999</v>
      </c>
    </row>
    <row r="1584" spans="1:3" x14ac:dyDescent="0.3">
      <c r="A1584" s="22">
        <v>2.1150000000000001E-6</v>
      </c>
      <c r="B1584" s="22">
        <v>-3.1645728450000001E-3</v>
      </c>
      <c r="C1584" s="22">
        <f t="shared" si="24"/>
        <v>-3.1645728450000004</v>
      </c>
    </row>
    <row r="1585" spans="1:3" x14ac:dyDescent="0.3">
      <c r="A1585" s="22">
        <v>2.12E-6</v>
      </c>
      <c r="B1585" s="22">
        <v>-2.6620602880000001E-3</v>
      </c>
      <c r="C1585" s="22">
        <f t="shared" si="24"/>
        <v>-2.6620602880000002</v>
      </c>
    </row>
    <row r="1586" spans="1:3" x14ac:dyDescent="0.3">
      <c r="A1586" s="22">
        <v>2.125E-6</v>
      </c>
      <c r="B1586" s="22">
        <v>-3.1645728450000001E-3</v>
      </c>
      <c r="C1586" s="22">
        <f t="shared" si="24"/>
        <v>-3.1645728450000004</v>
      </c>
    </row>
    <row r="1587" spans="1:3" x14ac:dyDescent="0.3">
      <c r="A1587" s="22">
        <v>2.1299999999999999E-6</v>
      </c>
      <c r="B1587" s="22">
        <v>-2.5615577759999998E-3</v>
      </c>
      <c r="C1587" s="22">
        <f t="shared" si="24"/>
        <v>-2.5615577759999999</v>
      </c>
    </row>
    <row r="1588" spans="1:3" x14ac:dyDescent="0.3">
      <c r="A1588" s="22">
        <v>2.1349999999999999E-6</v>
      </c>
      <c r="B1588" s="22">
        <v>-8.5301508100000005E-4</v>
      </c>
      <c r="C1588" s="22">
        <f t="shared" si="24"/>
        <v>-0.85301508100000001</v>
      </c>
    </row>
    <row r="1589" spans="1:3" x14ac:dyDescent="0.3">
      <c r="A1589" s="22">
        <v>2.1399999999999998E-6</v>
      </c>
      <c r="B1589" s="22">
        <v>-2.5000001200000001E-4</v>
      </c>
      <c r="C1589" s="22">
        <f t="shared" si="24"/>
        <v>-0.25000001199999999</v>
      </c>
    </row>
    <row r="1590" spans="1:3" x14ac:dyDescent="0.3">
      <c r="A1590" s="22">
        <v>2.1449999999999998E-6</v>
      </c>
      <c r="B1590" s="22">
        <v>-3.5050252300000001E-4</v>
      </c>
      <c r="C1590" s="22">
        <f t="shared" si="24"/>
        <v>-0.35050252300000001</v>
      </c>
    </row>
    <row r="1591" spans="1:3" x14ac:dyDescent="0.3">
      <c r="A1591" s="22">
        <v>2.1500000000000002E-6</v>
      </c>
      <c r="B1591" s="22">
        <v>-1.4560301499999999E-3</v>
      </c>
      <c r="C1591" s="22">
        <f t="shared" si="24"/>
        <v>-1.4560301499999999</v>
      </c>
    </row>
    <row r="1592" spans="1:3" x14ac:dyDescent="0.3">
      <c r="A1592" s="22">
        <v>2.1550000000000001E-6</v>
      </c>
      <c r="B1592" s="22">
        <v>-1.7575376840000001E-3</v>
      </c>
      <c r="C1592" s="22">
        <f t="shared" si="24"/>
        <v>-1.7575376840000001</v>
      </c>
    </row>
    <row r="1593" spans="1:3" x14ac:dyDescent="0.3">
      <c r="A1593" s="22">
        <v>2.1600000000000001E-6</v>
      </c>
      <c r="B1593" s="22">
        <v>-6.5201005800000005E-4</v>
      </c>
      <c r="C1593" s="22">
        <f t="shared" si="24"/>
        <v>-0.652010058</v>
      </c>
    </row>
    <row r="1594" spans="1:3" x14ac:dyDescent="0.3">
      <c r="A1594" s="22">
        <v>2.165E-6</v>
      </c>
      <c r="B1594" s="22">
        <v>-7.52512569E-4</v>
      </c>
      <c r="C1594" s="22">
        <f t="shared" si="24"/>
        <v>-0.75251256899999996</v>
      </c>
    </row>
    <row r="1595" spans="1:3" x14ac:dyDescent="0.3">
      <c r="A1595" s="22">
        <v>2.17E-6</v>
      </c>
      <c r="B1595" s="22">
        <v>-1.4949749999999999E-4</v>
      </c>
      <c r="C1595" s="22">
        <f t="shared" si="24"/>
        <v>-0.14949749999999998</v>
      </c>
    </row>
    <row r="1596" spans="1:3" x14ac:dyDescent="0.3">
      <c r="A1596" s="22">
        <v>2.1749999999999999E-6</v>
      </c>
      <c r="B1596" s="22">
        <v>-1.4560301499999999E-3</v>
      </c>
      <c r="C1596" s="22">
        <f t="shared" si="24"/>
        <v>-1.4560301499999999</v>
      </c>
    </row>
    <row r="1597" spans="1:3" x14ac:dyDescent="0.3">
      <c r="A1597" s="22">
        <v>2.1799999999999999E-6</v>
      </c>
      <c r="B1597" s="22">
        <v>-1.0540201039999999E-3</v>
      </c>
      <c r="C1597" s="22">
        <f t="shared" si="24"/>
        <v>-1.0540201039999999</v>
      </c>
    </row>
    <row r="1598" spans="1:3" x14ac:dyDescent="0.3">
      <c r="A1598" s="22">
        <v>2.1849999999999998E-6</v>
      </c>
      <c r="B1598" s="22">
        <v>-6.5201005800000005E-4</v>
      </c>
      <c r="C1598" s="22">
        <f t="shared" si="24"/>
        <v>-0.652010058</v>
      </c>
    </row>
    <row r="1599" spans="1:3" x14ac:dyDescent="0.3">
      <c r="A1599" s="22">
        <v>2.1900000000000002E-6</v>
      </c>
      <c r="B1599" s="22">
        <v>-1.0540201039999999E-3</v>
      </c>
      <c r="C1599" s="22">
        <f t="shared" si="24"/>
        <v>-1.0540201039999999</v>
      </c>
    </row>
    <row r="1600" spans="1:3" x14ac:dyDescent="0.3">
      <c r="A1600" s="22">
        <v>2.1950000000000002E-6</v>
      </c>
      <c r="B1600" s="22">
        <v>-6.5201005800000005E-4</v>
      </c>
      <c r="C1600" s="22">
        <f t="shared" si="24"/>
        <v>-0.652010058</v>
      </c>
    </row>
    <row r="1601" spans="1:3" x14ac:dyDescent="0.3">
      <c r="A1601" s="22">
        <v>2.2000000000000001E-6</v>
      </c>
      <c r="B1601" s="22">
        <v>-7.52512569E-4</v>
      </c>
      <c r="C1601" s="22">
        <f t="shared" si="24"/>
        <v>-0.75251256899999996</v>
      </c>
    </row>
    <row r="1602" spans="1:3" x14ac:dyDescent="0.3">
      <c r="A1602" s="22">
        <v>2.2050000000000001E-6</v>
      </c>
      <c r="B1602" s="22">
        <v>-2.5000001200000001E-4</v>
      </c>
      <c r="C1602" s="22">
        <f t="shared" si="24"/>
        <v>-0.25000001199999999</v>
      </c>
    </row>
    <row r="1603" spans="1:3" x14ac:dyDescent="0.3">
      <c r="A1603" s="22">
        <v>2.21E-6</v>
      </c>
      <c r="B1603" s="22">
        <v>-6.5201005800000005E-4</v>
      </c>
      <c r="C1603" s="22">
        <f t="shared" si="24"/>
        <v>-0.652010058</v>
      </c>
    </row>
    <row r="1604" spans="1:3" x14ac:dyDescent="0.3">
      <c r="A1604" s="22">
        <v>2.215E-6</v>
      </c>
      <c r="B1604" s="22">
        <v>5.5402008000000002E-4</v>
      </c>
      <c r="C1604" s="22">
        <f t="shared" ref="C1604:C1667" si="25">B1604*10^3</f>
        <v>0.55402008000000003</v>
      </c>
    </row>
    <row r="1605" spans="1:3" x14ac:dyDescent="0.3">
      <c r="A1605" s="22">
        <v>2.2199999999999999E-6</v>
      </c>
      <c r="B1605" s="22">
        <v>1.52010034E-4</v>
      </c>
      <c r="C1605" s="22">
        <f t="shared" si="25"/>
        <v>0.15201003400000002</v>
      </c>
    </row>
    <row r="1606" spans="1:3" x14ac:dyDescent="0.3">
      <c r="A1606" s="22">
        <v>2.2249999999999999E-6</v>
      </c>
      <c r="B1606" s="22">
        <v>1.52010034E-4</v>
      </c>
      <c r="C1606" s="22">
        <f t="shared" si="25"/>
        <v>0.15201003400000002</v>
      </c>
    </row>
    <row r="1607" spans="1:3" x14ac:dyDescent="0.3">
      <c r="A1607" s="22">
        <v>2.2299999999999998E-6</v>
      </c>
      <c r="B1607" s="22">
        <v>2.5251254600000002E-4</v>
      </c>
      <c r="C1607" s="22">
        <f t="shared" si="25"/>
        <v>0.252512546</v>
      </c>
    </row>
    <row r="1608" spans="1:3" x14ac:dyDescent="0.3">
      <c r="A1608" s="22">
        <v>2.2350000000000002E-6</v>
      </c>
      <c r="B1608" s="22">
        <v>-2.5000001200000001E-4</v>
      </c>
      <c r="C1608" s="22">
        <f t="shared" si="25"/>
        <v>-0.25000001199999999</v>
      </c>
    </row>
    <row r="1609" spans="1:3" x14ac:dyDescent="0.3">
      <c r="A1609" s="22">
        <v>2.2400000000000002E-6</v>
      </c>
      <c r="B1609" s="22">
        <v>-3.5050252300000001E-4</v>
      </c>
      <c r="C1609" s="22">
        <f t="shared" si="25"/>
        <v>-0.35050252300000001</v>
      </c>
    </row>
    <row r="1610" spans="1:3" x14ac:dyDescent="0.3">
      <c r="A1610" s="22">
        <v>2.2450000000000001E-6</v>
      </c>
      <c r="B1610" s="22">
        <v>5.5402008000000002E-4</v>
      </c>
      <c r="C1610" s="22">
        <f t="shared" si="25"/>
        <v>0.55402008000000003</v>
      </c>
    </row>
    <row r="1611" spans="1:3" x14ac:dyDescent="0.3">
      <c r="A1611" s="22">
        <v>2.2500000000000001E-6</v>
      </c>
      <c r="B1611" s="22">
        <v>-2.5000001200000001E-4</v>
      </c>
      <c r="C1611" s="22">
        <f t="shared" si="25"/>
        <v>-0.25000001199999999</v>
      </c>
    </row>
    <row r="1612" spans="1:3" x14ac:dyDescent="0.3">
      <c r="A1612" s="22">
        <v>2.255E-6</v>
      </c>
      <c r="B1612" s="22">
        <v>4.5351756800000002E-4</v>
      </c>
      <c r="C1612" s="22">
        <f t="shared" si="25"/>
        <v>0.45351756800000004</v>
      </c>
    </row>
    <row r="1613" spans="1:3" x14ac:dyDescent="0.3">
      <c r="A1613" s="22">
        <v>2.26E-6</v>
      </c>
      <c r="B1613" s="22">
        <v>3.5301505700000002E-4</v>
      </c>
      <c r="C1613" s="22">
        <f t="shared" si="25"/>
        <v>0.35301505700000002</v>
      </c>
    </row>
    <row r="1614" spans="1:3" x14ac:dyDescent="0.3">
      <c r="A1614" s="22">
        <v>2.2649999999999999E-6</v>
      </c>
      <c r="B1614" s="22">
        <v>-2.5000001200000001E-4</v>
      </c>
      <c r="C1614" s="22">
        <f t="shared" si="25"/>
        <v>-0.25000001199999999</v>
      </c>
    </row>
    <row r="1615" spans="1:3" x14ac:dyDescent="0.3">
      <c r="A1615" s="22">
        <v>2.2699999999999999E-6</v>
      </c>
      <c r="B1615" s="22">
        <v>-5.51507546E-4</v>
      </c>
      <c r="C1615" s="22">
        <f t="shared" si="25"/>
        <v>-0.55150754599999996</v>
      </c>
    </row>
    <row r="1616" spans="1:3" x14ac:dyDescent="0.3">
      <c r="A1616" s="22">
        <v>2.2749999999999998E-6</v>
      </c>
      <c r="B1616" s="22">
        <v>-2.5000001200000001E-4</v>
      </c>
      <c r="C1616" s="22">
        <f t="shared" si="25"/>
        <v>-0.25000001199999999</v>
      </c>
    </row>
    <row r="1617" spans="1:3" x14ac:dyDescent="0.3">
      <c r="A1617" s="22">
        <v>2.2800000000000002E-6</v>
      </c>
      <c r="B1617" s="22">
        <v>-2.5000001200000001E-4</v>
      </c>
      <c r="C1617" s="22">
        <f t="shared" si="25"/>
        <v>-0.25000001199999999</v>
      </c>
    </row>
    <row r="1618" spans="1:3" x14ac:dyDescent="0.3">
      <c r="A1618" s="22">
        <v>2.2850000000000001E-6</v>
      </c>
      <c r="B1618" s="22">
        <v>-2.5000001200000001E-4</v>
      </c>
      <c r="C1618" s="22">
        <f t="shared" si="25"/>
        <v>-0.25000001199999999</v>
      </c>
    </row>
    <row r="1619" spans="1:3" x14ac:dyDescent="0.3">
      <c r="A1619" s="22">
        <v>2.2900000000000001E-6</v>
      </c>
      <c r="B1619" s="22">
        <v>-3.5050252300000001E-4</v>
      </c>
      <c r="C1619" s="22">
        <f t="shared" si="25"/>
        <v>-0.35050252300000001</v>
      </c>
    </row>
    <row r="1620" spans="1:3" x14ac:dyDescent="0.3">
      <c r="A1620" s="22">
        <v>2.295E-6</v>
      </c>
      <c r="B1620" s="22">
        <v>-1.154522615E-3</v>
      </c>
      <c r="C1620" s="22">
        <f t="shared" si="25"/>
        <v>-1.1545226150000001</v>
      </c>
    </row>
    <row r="1621" spans="1:3" x14ac:dyDescent="0.3">
      <c r="A1621" s="22">
        <v>2.3E-6</v>
      </c>
      <c r="B1621" s="22">
        <v>-1.4560301499999999E-3</v>
      </c>
      <c r="C1621" s="22">
        <f t="shared" si="25"/>
        <v>-1.4560301499999999</v>
      </c>
    </row>
    <row r="1622" spans="1:3" x14ac:dyDescent="0.3">
      <c r="A1622" s="22">
        <v>2.305E-6</v>
      </c>
      <c r="B1622" s="22">
        <v>-1.4560301499999999E-3</v>
      </c>
      <c r="C1622" s="22">
        <f t="shared" si="25"/>
        <v>-1.4560301499999999</v>
      </c>
    </row>
    <row r="1623" spans="1:3" x14ac:dyDescent="0.3">
      <c r="A1623" s="22">
        <v>2.3099999999999999E-6</v>
      </c>
      <c r="B1623" s="22">
        <v>-1.8580401959999999E-3</v>
      </c>
      <c r="C1623" s="22">
        <f t="shared" si="25"/>
        <v>-1.8580401959999999</v>
      </c>
    </row>
    <row r="1624" spans="1:3" x14ac:dyDescent="0.3">
      <c r="A1624" s="22">
        <v>2.3149999999999999E-6</v>
      </c>
      <c r="B1624" s="22">
        <v>-1.4560301499999999E-3</v>
      </c>
      <c r="C1624" s="22">
        <f t="shared" si="25"/>
        <v>-1.4560301499999999</v>
      </c>
    </row>
    <row r="1625" spans="1:3" x14ac:dyDescent="0.3">
      <c r="A1625" s="22">
        <v>2.3199999999999998E-6</v>
      </c>
      <c r="B1625" s="22">
        <v>-1.556532661E-3</v>
      </c>
      <c r="C1625" s="22">
        <f t="shared" si="25"/>
        <v>-1.5565326609999999</v>
      </c>
    </row>
    <row r="1626" spans="1:3" x14ac:dyDescent="0.3">
      <c r="A1626" s="22">
        <v>2.3250000000000002E-6</v>
      </c>
      <c r="B1626" s="22">
        <v>-2.1595477300000001E-3</v>
      </c>
      <c r="C1626" s="22">
        <f t="shared" si="25"/>
        <v>-2.1595477299999999</v>
      </c>
    </row>
    <row r="1627" spans="1:3" x14ac:dyDescent="0.3">
      <c r="A1627" s="22">
        <v>2.3300000000000001E-6</v>
      </c>
      <c r="B1627" s="22">
        <v>-2.3605527530000002E-3</v>
      </c>
      <c r="C1627" s="22">
        <f t="shared" si="25"/>
        <v>-2.3605527530000003</v>
      </c>
    </row>
    <row r="1628" spans="1:3" x14ac:dyDescent="0.3">
      <c r="A1628" s="22">
        <v>2.3350000000000001E-6</v>
      </c>
      <c r="B1628" s="22">
        <v>-1.255025127E-3</v>
      </c>
      <c r="C1628" s="22">
        <f t="shared" si="25"/>
        <v>-1.2550251270000001</v>
      </c>
    </row>
    <row r="1629" spans="1:3" x14ac:dyDescent="0.3">
      <c r="A1629" s="22">
        <v>2.34E-6</v>
      </c>
      <c r="B1629" s="22">
        <v>-1.4560301499999999E-3</v>
      </c>
      <c r="C1629" s="22">
        <f t="shared" si="25"/>
        <v>-1.4560301499999999</v>
      </c>
    </row>
    <row r="1630" spans="1:3" x14ac:dyDescent="0.3">
      <c r="A1630" s="22">
        <v>2.345E-6</v>
      </c>
      <c r="B1630" s="22">
        <v>-2.1595477300000001E-3</v>
      </c>
      <c r="C1630" s="22">
        <f t="shared" si="25"/>
        <v>-2.1595477299999999</v>
      </c>
    </row>
    <row r="1631" spans="1:3" x14ac:dyDescent="0.3">
      <c r="A1631" s="22">
        <v>2.3499999999999999E-6</v>
      </c>
      <c r="B1631" s="22">
        <v>-3.8680904249999998E-3</v>
      </c>
      <c r="C1631" s="22">
        <f t="shared" si="25"/>
        <v>-3.8680904249999997</v>
      </c>
    </row>
    <row r="1632" spans="1:3" x14ac:dyDescent="0.3">
      <c r="A1632" s="22">
        <v>2.3549999999999999E-6</v>
      </c>
      <c r="B1632" s="22">
        <v>-2.7625627989999999E-3</v>
      </c>
      <c r="C1632" s="22">
        <f t="shared" si="25"/>
        <v>-2.7625627989999999</v>
      </c>
    </row>
    <row r="1633" spans="1:3" x14ac:dyDescent="0.3">
      <c r="A1633" s="22">
        <v>2.3599999999999999E-6</v>
      </c>
      <c r="B1633" s="22">
        <v>-3.8680904249999998E-3</v>
      </c>
      <c r="C1633" s="22">
        <f t="shared" si="25"/>
        <v>-3.8680904249999997</v>
      </c>
    </row>
    <row r="1634" spans="1:3" x14ac:dyDescent="0.3">
      <c r="A1634" s="22">
        <v>2.3649999999999998E-6</v>
      </c>
      <c r="B1634" s="22">
        <v>-3.8680904249999998E-3</v>
      </c>
      <c r="C1634" s="22">
        <f t="shared" si="25"/>
        <v>-3.8680904249999997</v>
      </c>
    </row>
    <row r="1635" spans="1:3" x14ac:dyDescent="0.3">
      <c r="A1635" s="22">
        <v>2.3700000000000002E-6</v>
      </c>
      <c r="B1635" s="22">
        <v>-3.5665828909999999E-3</v>
      </c>
      <c r="C1635" s="22">
        <f t="shared" si="25"/>
        <v>-3.5665828909999999</v>
      </c>
    </row>
    <row r="1636" spans="1:3" x14ac:dyDescent="0.3">
      <c r="A1636" s="22">
        <v>2.3750000000000001E-6</v>
      </c>
      <c r="B1636" s="22">
        <v>-3.767587914E-3</v>
      </c>
      <c r="C1636" s="22">
        <f t="shared" si="25"/>
        <v>-3.7675879139999999</v>
      </c>
    </row>
    <row r="1637" spans="1:3" x14ac:dyDescent="0.3">
      <c r="A1637" s="22">
        <v>2.3800000000000001E-6</v>
      </c>
      <c r="B1637" s="22">
        <v>-3.3655778679999998E-3</v>
      </c>
      <c r="C1637" s="22">
        <f t="shared" si="25"/>
        <v>-3.3655778679999999</v>
      </c>
    </row>
    <row r="1638" spans="1:3" x14ac:dyDescent="0.3">
      <c r="A1638" s="22">
        <v>2.385E-6</v>
      </c>
      <c r="B1638" s="22">
        <v>-3.9685929370000001E-3</v>
      </c>
      <c r="C1638" s="22">
        <f t="shared" si="25"/>
        <v>-3.9685929369999999</v>
      </c>
    </row>
    <row r="1639" spans="1:3" x14ac:dyDescent="0.3">
      <c r="A1639" s="22">
        <v>2.39E-6</v>
      </c>
      <c r="B1639" s="22">
        <v>-4.6721105170000003E-3</v>
      </c>
      <c r="C1639" s="22">
        <f t="shared" si="25"/>
        <v>-4.6721105170000001</v>
      </c>
    </row>
    <row r="1640" spans="1:3" x14ac:dyDescent="0.3">
      <c r="A1640" s="22">
        <v>2.3949999999999999E-6</v>
      </c>
      <c r="B1640" s="22">
        <v>-4.3706029830000003E-3</v>
      </c>
      <c r="C1640" s="22">
        <f t="shared" si="25"/>
        <v>-4.3706029830000004</v>
      </c>
    </row>
    <row r="1641" spans="1:3" x14ac:dyDescent="0.3">
      <c r="A1641" s="22">
        <v>2.3999999999999999E-6</v>
      </c>
      <c r="B1641" s="22">
        <v>-3.9685929370000001E-3</v>
      </c>
      <c r="C1641" s="22">
        <f t="shared" si="25"/>
        <v>-3.9685929369999999</v>
      </c>
    </row>
    <row r="1642" spans="1:3" x14ac:dyDescent="0.3">
      <c r="A1642" s="22">
        <v>2.4049999999999998E-6</v>
      </c>
      <c r="B1642" s="22">
        <v>-4.1695979600000002E-3</v>
      </c>
      <c r="C1642" s="22">
        <f t="shared" si="25"/>
        <v>-4.1695979599999999</v>
      </c>
    </row>
    <row r="1643" spans="1:3" x14ac:dyDescent="0.3">
      <c r="A1643" s="22">
        <v>2.4099999999999998E-6</v>
      </c>
      <c r="B1643" s="22">
        <v>-2.2600502419999999E-3</v>
      </c>
      <c r="C1643" s="22">
        <f t="shared" si="25"/>
        <v>-2.2600502419999997</v>
      </c>
    </row>
    <row r="1644" spans="1:3" x14ac:dyDescent="0.3">
      <c r="A1644" s="22">
        <v>2.4150000000000002E-6</v>
      </c>
      <c r="B1644" s="22">
        <v>-2.6620602880000001E-3</v>
      </c>
      <c r="C1644" s="22">
        <f t="shared" si="25"/>
        <v>-2.6620602880000002</v>
      </c>
    </row>
    <row r="1645" spans="1:3" x14ac:dyDescent="0.3">
      <c r="A1645" s="22">
        <v>2.4200000000000001E-6</v>
      </c>
      <c r="B1645" s="22">
        <v>-1.154522615E-3</v>
      </c>
      <c r="C1645" s="22">
        <f t="shared" si="25"/>
        <v>-1.1545226150000001</v>
      </c>
    </row>
    <row r="1646" spans="1:3" x14ac:dyDescent="0.3">
      <c r="A1646" s="22">
        <v>2.4250000000000001E-6</v>
      </c>
      <c r="B1646" s="22">
        <v>-2.2600502419999999E-3</v>
      </c>
      <c r="C1646" s="22">
        <f t="shared" si="25"/>
        <v>-2.2600502419999997</v>
      </c>
    </row>
    <row r="1647" spans="1:3" x14ac:dyDescent="0.3">
      <c r="A1647" s="22">
        <v>2.43E-6</v>
      </c>
      <c r="B1647" s="22">
        <v>-2.3605527530000002E-3</v>
      </c>
      <c r="C1647" s="22">
        <f t="shared" si="25"/>
        <v>-2.3605527530000003</v>
      </c>
    </row>
    <row r="1648" spans="1:3" x14ac:dyDescent="0.3">
      <c r="A1648" s="22">
        <v>2.435E-6</v>
      </c>
      <c r="B1648" s="22">
        <v>-2.0590452189999998E-3</v>
      </c>
      <c r="C1648" s="22">
        <f t="shared" si="25"/>
        <v>-2.0590452189999997</v>
      </c>
    </row>
    <row r="1649" spans="1:3" x14ac:dyDescent="0.3">
      <c r="A1649" s="22">
        <v>2.4399999999999999E-6</v>
      </c>
      <c r="B1649" s="22">
        <v>-1.657035173E-3</v>
      </c>
      <c r="C1649" s="22">
        <f t="shared" si="25"/>
        <v>-1.6570351729999999</v>
      </c>
    </row>
    <row r="1650" spans="1:3" x14ac:dyDescent="0.3">
      <c r="A1650" s="22">
        <v>2.4449999999999999E-6</v>
      </c>
      <c r="B1650" s="22">
        <v>-1.4560301499999999E-3</v>
      </c>
      <c r="C1650" s="22">
        <f t="shared" si="25"/>
        <v>-1.4560301499999999</v>
      </c>
    </row>
    <row r="1651" spans="1:3" x14ac:dyDescent="0.3">
      <c r="A1651" s="22">
        <v>2.4499999999999998E-6</v>
      </c>
      <c r="B1651" s="22">
        <v>-1.4949749999999999E-4</v>
      </c>
      <c r="C1651" s="22">
        <f t="shared" si="25"/>
        <v>-0.14949749999999998</v>
      </c>
    </row>
    <row r="1652" spans="1:3" x14ac:dyDescent="0.3">
      <c r="A1652" s="22">
        <v>2.4550000000000002E-6</v>
      </c>
      <c r="B1652" s="22">
        <v>5.1507522999999997E-5</v>
      </c>
      <c r="C1652" s="22">
        <f t="shared" si="25"/>
        <v>5.1507523E-2</v>
      </c>
    </row>
    <row r="1653" spans="1:3" x14ac:dyDescent="0.3">
      <c r="A1653" s="22">
        <v>2.4600000000000002E-6</v>
      </c>
      <c r="B1653" s="22">
        <v>5.5402008000000002E-4</v>
      </c>
      <c r="C1653" s="22">
        <f t="shared" si="25"/>
        <v>0.55402008000000003</v>
      </c>
    </row>
    <row r="1654" spans="1:3" x14ac:dyDescent="0.3">
      <c r="A1654" s="22">
        <v>2.4650000000000001E-6</v>
      </c>
      <c r="B1654" s="22">
        <v>-2.5000001200000001E-4</v>
      </c>
      <c r="C1654" s="22">
        <f t="shared" si="25"/>
        <v>-0.25000001199999999</v>
      </c>
    </row>
    <row r="1655" spans="1:3" x14ac:dyDescent="0.3">
      <c r="A1655" s="22">
        <v>2.4700000000000001E-6</v>
      </c>
      <c r="B1655" s="22">
        <v>-6.5201005800000005E-4</v>
      </c>
      <c r="C1655" s="22">
        <f t="shared" si="25"/>
        <v>-0.652010058</v>
      </c>
    </row>
    <row r="1656" spans="1:3" x14ac:dyDescent="0.3">
      <c r="A1656" s="22">
        <v>2.475E-6</v>
      </c>
      <c r="B1656" s="22">
        <v>-7.52512569E-4</v>
      </c>
      <c r="C1656" s="22">
        <f t="shared" si="25"/>
        <v>-0.75251256899999996</v>
      </c>
    </row>
    <row r="1657" spans="1:3" x14ac:dyDescent="0.3">
      <c r="A1657" s="22">
        <v>2.48E-6</v>
      </c>
      <c r="B1657" s="22">
        <v>-3.5050252300000001E-4</v>
      </c>
      <c r="C1657" s="22">
        <f t="shared" si="25"/>
        <v>-0.35050252300000001</v>
      </c>
    </row>
    <row r="1658" spans="1:3" x14ac:dyDescent="0.3">
      <c r="A1658" s="22">
        <v>2.4849999999999999E-6</v>
      </c>
      <c r="B1658" s="22">
        <v>1.52010034E-4</v>
      </c>
      <c r="C1658" s="22">
        <f t="shared" si="25"/>
        <v>0.15201003400000002</v>
      </c>
    </row>
    <row r="1659" spans="1:3" x14ac:dyDescent="0.3">
      <c r="A1659" s="22">
        <v>2.4899999999999999E-6</v>
      </c>
      <c r="B1659" s="22">
        <v>3.5301505700000002E-4</v>
      </c>
      <c r="C1659" s="22">
        <f t="shared" si="25"/>
        <v>0.35301505700000002</v>
      </c>
    </row>
    <row r="1660" spans="1:3" x14ac:dyDescent="0.3">
      <c r="A1660" s="22">
        <v>2.4949999999999998E-6</v>
      </c>
      <c r="B1660" s="22">
        <v>5.5402008000000002E-4</v>
      </c>
      <c r="C1660" s="22">
        <f t="shared" si="25"/>
        <v>0.55402008000000003</v>
      </c>
    </row>
    <row r="1661" spans="1:3" x14ac:dyDescent="0.3">
      <c r="A1661" s="22">
        <v>2.5000000000000002E-6</v>
      </c>
      <c r="B1661" s="22">
        <v>-5.51507546E-4</v>
      </c>
      <c r="C1661" s="22">
        <f t="shared" si="25"/>
        <v>-0.55150754599999996</v>
      </c>
    </row>
    <row r="1662" spans="1:3" x14ac:dyDescent="0.3">
      <c r="A1662" s="22">
        <v>2.5050000000000002E-6</v>
      </c>
      <c r="B1662" s="22">
        <v>-6.5201005800000005E-4</v>
      </c>
      <c r="C1662" s="22">
        <f t="shared" si="25"/>
        <v>-0.652010058</v>
      </c>
    </row>
    <row r="1663" spans="1:3" x14ac:dyDescent="0.3">
      <c r="A1663" s="22">
        <v>2.5100000000000001E-6</v>
      </c>
      <c r="B1663" s="22">
        <v>-9.5351759199999999E-4</v>
      </c>
      <c r="C1663" s="22">
        <f t="shared" si="25"/>
        <v>-0.95351759199999997</v>
      </c>
    </row>
    <row r="1664" spans="1:3" x14ac:dyDescent="0.3">
      <c r="A1664" s="22">
        <v>2.5150000000000001E-6</v>
      </c>
      <c r="B1664" s="22">
        <v>-6.5201005800000005E-4</v>
      </c>
      <c r="C1664" s="22">
        <f t="shared" si="25"/>
        <v>-0.652010058</v>
      </c>
    </row>
    <row r="1665" spans="1:3" x14ac:dyDescent="0.3">
      <c r="A1665" s="22">
        <v>2.52E-6</v>
      </c>
      <c r="B1665" s="22">
        <v>-6.5201005800000005E-4</v>
      </c>
      <c r="C1665" s="22">
        <f t="shared" si="25"/>
        <v>-0.652010058</v>
      </c>
    </row>
    <row r="1666" spans="1:3" x14ac:dyDescent="0.3">
      <c r="A1666" s="22">
        <v>2.525E-6</v>
      </c>
      <c r="B1666" s="22">
        <v>-1.4560301499999999E-3</v>
      </c>
      <c r="C1666" s="22">
        <f t="shared" si="25"/>
        <v>-1.4560301499999999</v>
      </c>
    </row>
    <row r="1667" spans="1:3" x14ac:dyDescent="0.3">
      <c r="A1667" s="22">
        <v>2.5299999999999999E-6</v>
      </c>
      <c r="B1667" s="22">
        <v>-1.0540201039999999E-3</v>
      </c>
      <c r="C1667" s="22">
        <f t="shared" si="25"/>
        <v>-1.0540201039999999</v>
      </c>
    </row>
    <row r="1668" spans="1:3" x14ac:dyDescent="0.3">
      <c r="A1668" s="22">
        <v>2.5349999999999999E-6</v>
      </c>
      <c r="B1668" s="22">
        <v>-1.4560301499999999E-3</v>
      </c>
      <c r="C1668" s="22">
        <f t="shared" ref="C1668:C1731" si="26">B1668*10^3</f>
        <v>-1.4560301499999999</v>
      </c>
    </row>
    <row r="1669" spans="1:3" x14ac:dyDescent="0.3">
      <c r="A1669" s="22">
        <v>2.5399999999999998E-6</v>
      </c>
      <c r="B1669" s="22">
        <v>-1.8580401959999999E-3</v>
      </c>
      <c r="C1669" s="22">
        <f t="shared" si="26"/>
        <v>-1.8580401959999999</v>
      </c>
    </row>
    <row r="1670" spans="1:3" x14ac:dyDescent="0.3">
      <c r="A1670" s="22">
        <v>2.5450000000000002E-6</v>
      </c>
      <c r="B1670" s="22">
        <v>-2.0590452189999998E-3</v>
      </c>
      <c r="C1670" s="22">
        <f t="shared" si="26"/>
        <v>-2.0590452189999997</v>
      </c>
    </row>
    <row r="1671" spans="1:3" x14ac:dyDescent="0.3">
      <c r="A1671" s="22">
        <v>2.5500000000000001E-6</v>
      </c>
      <c r="B1671" s="22">
        <v>-2.1595477300000001E-3</v>
      </c>
      <c r="C1671" s="22">
        <f t="shared" si="26"/>
        <v>-2.1595477299999999</v>
      </c>
    </row>
    <row r="1672" spans="1:3" x14ac:dyDescent="0.3">
      <c r="A1672" s="22">
        <v>2.5550000000000001E-6</v>
      </c>
      <c r="B1672" s="22">
        <v>-2.2600502419999999E-3</v>
      </c>
      <c r="C1672" s="22">
        <f t="shared" si="26"/>
        <v>-2.2600502419999997</v>
      </c>
    </row>
    <row r="1673" spans="1:3" x14ac:dyDescent="0.3">
      <c r="A1673" s="22">
        <v>2.5600000000000001E-6</v>
      </c>
      <c r="B1673" s="22">
        <v>-1.3555276380000001E-3</v>
      </c>
      <c r="C1673" s="22">
        <f t="shared" si="26"/>
        <v>-1.3555276380000001</v>
      </c>
    </row>
    <row r="1674" spans="1:3" x14ac:dyDescent="0.3">
      <c r="A1674" s="22">
        <v>2.565E-6</v>
      </c>
      <c r="B1674" s="22">
        <v>-2.6620602880000001E-3</v>
      </c>
      <c r="C1674" s="22">
        <f t="shared" si="26"/>
        <v>-2.6620602880000002</v>
      </c>
    </row>
    <row r="1675" spans="1:3" x14ac:dyDescent="0.3">
      <c r="A1675" s="22">
        <v>2.57E-6</v>
      </c>
      <c r="B1675" s="22">
        <v>-1.556532661E-3</v>
      </c>
      <c r="C1675" s="22">
        <f t="shared" si="26"/>
        <v>-1.5565326609999999</v>
      </c>
    </row>
    <row r="1676" spans="1:3" x14ac:dyDescent="0.3">
      <c r="A1676" s="22">
        <v>2.5749999999999999E-6</v>
      </c>
      <c r="B1676" s="22">
        <v>-3.5050252300000001E-4</v>
      </c>
      <c r="C1676" s="22">
        <f t="shared" si="26"/>
        <v>-0.35050252300000001</v>
      </c>
    </row>
    <row r="1677" spans="1:3" x14ac:dyDescent="0.3">
      <c r="A1677" s="22">
        <v>2.5799999999999999E-6</v>
      </c>
      <c r="B1677" s="22">
        <v>-6.5201005800000005E-4</v>
      </c>
      <c r="C1677" s="22">
        <f t="shared" si="26"/>
        <v>-0.652010058</v>
      </c>
    </row>
    <row r="1678" spans="1:3" x14ac:dyDescent="0.3">
      <c r="A1678" s="22">
        <v>2.5849999999999998E-6</v>
      </c>
      <c r="B1678" s="22">
        <v>-6.5201005800000005E-4</v>
      </c>
      <c r="C1678" s="22">
        <f t="shared" si="26"/>
        <v>-0.652010058</v>
      </c>
    </row>
    <row r="1679" spans="1:3" x14ac:dyDescent="0.3">
      <c r="A1679" s="22">
        <v>2.5900000000000002E-6</v>
      </c>
      <c r="B1679" s="22">
        <v>-1.556532661E-3</v>
      </c>
      <c r="C1679" s="22">
        <f t="shared" si="26"/>
        <v>-1.5565326609999999</v>
      </c>
    </row>
    <row r="1680" spans="1:3" x14ac:dyDescent="0.3">
      <c r="A1680" s="22">
        <v>2.5950000000000001E-6</v>
      </c>
      <c r="B1680" s="22">
        <v>-1.3555276380000001E-3</v>
      </c>
      <c r="C1680" s="22">
        <f t="shared" si="26"/>
        <v>-1.3555276380000001</v>
      </c>
    </row>
    <row r="1681" spans="1:3" x14ac:dyDescent="0.3">
      <c r="A1681" s="22">
        <v>2.6000000000000001E-6</v>
      </c>
      <c r="B1681" s="22">
        <v>-7.52512569E-4</v>
      </c>
      <c r="C1681" s="22">
        <f t="shared" si="26"/>
        <v>-0.75251256899999996</v>
      </c>
    </row>
    <row r="1682" spans="1:3" x14ac:dyDescent="0.3">
      <c r="A1682" s="22">
        <v>2.605E-6</v>
      </c>
      <c r="B1682" s="22">
        <v>-1.154522615E-3</v>
      </c>
      <c r="C1682" s="22">
        <f t="shared" si="26"/>
        <v>-1.1545226150000001</v>
      </c>
    </row>
    <row r="1683" spans="1:3" x14ac:dyDescent="0.3">
      <c r="A1683" s="22">
        <v>2.61E-6</v>
      </c>
      <c r="B1683" s="22">
        <v>-1.0540201039999999E-3</v>
      </c>
      <c r="C1683" s="22">
        <f t="shared" si="26"/>
        <v>-1.0540201039999999</v>
      </c>
    </row>
    <row r="1684" spans="1:3" x14ac:dyDescent="0.3">
      <c r="A1684" s="22">
        <v>2.615E-6</v>
      </c>
      <c r="B1684" s="22">
        <v>8.5552761399999996E-4</v>
      </c>
      <c r="C1684" s="22">
        <f t="shared" si="26"/>
        <v>0.85552761399999999</v>
      </c>
    </row>
    <row r="1685" spans="1:3" x14ac:dyDescent="0.3">
      <c r="A1685" s="22">
        <v>2.6199999999999999E-6</v>
      </c>
      <c r="B1685" s="22">
        <v>5.5402008000000002E-4</v>
      </c>
      <c r="C1685" s="22">
        <f t="shared" si="26"/>
        <v>0.55402008000000003</v>
      </c>
    </row>
    <row r="1686" spans="1:3" x14ac:dyDescent="0.3">
      <c r="A1686" s="22">
        <v>2.6249999999999999E-6</v>
      </c>
      <c r="B1686" s="22">
        <v>4.5351756800000002E-4</v>
      </c>
      <c r="C1686" s="22">
        <f t="shared" si="26"/>
        <v>0.45351756800000004</v>
      </c>
    </row>
    <row r="1687" spans="1:3" x14ac:dyDescent="0.3">
      <c r="A1687" s="22">
        <v>2.6299999999999998E-6</v>
      </c>
      <c r="B1687" s="22">
        <v>1.52010034E-4</v>
      </c>
      <c r="C1687" s="22">
        <f t="shared" si="26"/>
        <v>0.15201003400000002</v>
      </c>
    </row>
    <row r="1688" spans="1:3" x14ac:dyDescent="0.3">
      <c r="A1688" s="22">
        <v>2.6350000000000002E-6</v>
      </c>
      <c r="B1688" s="22">
        <v>1.52010034E-4</v>
      </c>
      <c r="C1688" s="22">
        <f t="shared" si="26"/>
        <v>0.15201003400000002</v>
      </c>
    </row>
    <row r="1689" spans="1:3" x14ac:dyDescent="0.3">
      <c r="A1689" s="22">
        <v>2.6400000000000001E-6</v>
      </c>
      <c r="B1689" s="22">
        <v>-2.5000001200000001E-4</v>
      </c>
      <c r="C1689" s="22">
        <f t="shared" si="26"/>
        <v>-0.25000001199999999</v>
      </c>
    </row>
    <row r="1690" spans="1:3" x14ac:dyDescent="0.3">
      <c r="A1690" s="22">
        <v>2.6450000000000001E-6</v>
      </c>
      <c r="B1690" s="22">
        <v>1.52010034E-4</v>
      </c>
      <c r="C1690" s="22">
        <f t="shared" si="26"/>
        <v>0.15201003400000002</v>
      </c>
    </row>
    <row r="1691" spans="1:3" x14ac:dyDescent="0.3">
      <c r="A1691" s="22">
        <v>2.65E-6</v>
      </c>
      <c r="B1691" s="22">
        <v>1.52010034E-4</v>
      </c>
      <c r="C1691" s="22">
        <f t="shared" si="26"/>
        <v>0.15201003400000002</v>
      </c>
    </row>
    <row r="1692" spans="1:3" x14ac:dyDescent="0.3">
      <c r="A1692" s="22">
        <v>2.655E-6</v>
      </c>
      <c r="B1692" s="22">
        <v>-2.5000001200000001E-4</v>
      </c>
      <c r="C1692" s="22">
        <f t="shared" si="26"/>
        <v>-0.25000001199999999</v>
      </c>
    </row>
    <row r="1693" spans="1:3" x14ac:dyDescent="0.3">
      <c r="A1693" s="22">
        <v>2.6599999999999999E-6</v>
      </c>
      <c r="B1693" s="22">
        <v>5.5402008000000002E-4</v>
      </c>
      <c r="C1693" s="22">
        <f t="shared" si="26"/>
        <v>0.55402008000000003</v>
      </c>
    </row>
    <row r="1694" spans="1:3" x14ac:dyDescent="0.3">
      <c r="A1694" s="22">
        <v>2.6649999999999999E-6</v>
      </c>
      <c r="B1694" s="22">
        <v>6.5452259199999996E-4</v>
      </c>
      <c r="C1694" s="22">
        <f t="shared" si="26"/>
        <v>0.65452259199999996</v>
      </c>
    </row>
    <row r="1695" spans="1:3" x14ac:dyDescent="0.3">
      <c r="A1695" s="22">
        <v>2.6699999999999998E-6</v>
      </c>
      <c r="B1695" s="22">
        <v>1.52010034E-4</v>
      </c>
      <c r="C1695" s="22">
        <f t="shared" si="26"/>
        <v>0.15201003400000002</v>
      </c>
    </row>
    <row r="1696" spans="1:3" x14ac:dyDescent="0.3">
      <c r="A1696" s="22">
        <v>2.6749999999999998E-6</v>
      </c>
      <c r="B1696" s="22">
        <v>-9.5351759199999999E-4</v>
      </c>
      <c r="C1696" s="22">
        <f t="shared" si="26"/>
        <v>-0.95351759199999997</v>
      </c>
    </row>
    <row r="1697" spans="1:3" x14ac:dyDescent="0.3">
      <c r="A1697" s="22">
        <v>2.6800000000000002E-6</v>
      </c>
      <c r="B1697" s="22">
        <v>1.52010034E-4</v>
      </c>
      <c r="C1697" s="22">
        <f t="shared" si="26"/>
        <v>0.15201003400000002</v>
      </c>
    </row>
    <row r="1698" spans="1:3" x14ac:dyDescent="0.3">
      <c r="A1698" s="22">
        <v>2.6850000000000001E-6</v>
      </c>
      <c r="B1698" s="22">
        <v>-2.5000001200000001E-4</v>
      </c>
      <c r="C1698" s="22">
        <f t="shared" si="26"/>
        <v>-0.25000001199999999</v>
      </c>
    </row>
    <row r="1699" spans="1:3" x14ac:dyDescent="0.3">
      <c r="A1699" s="22">
        <v>2.6900000000000001E-6</v>
      </c>
      <c r="B1699" s="22">
        <v>-1.4949749999999999E-4</v>
      </c>
      <c r="C1699" s="22">
        <f t="shared" si="26"/>
        <v>-0.14949749999999998</v>
      </c>
    </row>
    <row r="1700" spans="1:3" x14ac:dyDescent="0.3">
      <c r="A1700" s="22">
        <v>2.695E-6</v>
      </c>
      <c r="B1700" s="22">
        <v>5.1507522999999997E-5</v>
      </c>
      <c r="C1700" s="22">
        <f t="shared" si="26"/>
        <v>5.1507523E-2</v>
      </c>
    </row>
    <row r="1701" spans="1:3" x14ac:dyDescent="0.3">
      <c r="A1701" s="22">
        <v>2.7E-6</v>
      </c>
      <c r="B1701" s="22">
        <v>-1.4949749999999999E-4</v>
      </c>
      <c r="C1701" s="22">
        <f t="shared" si="26"/>
        <v>-0.14949749999999998</v>
      </c>
    </row>
    <row r="1702" spans="1:3" x14ac:dyDescent="0.3">
      <c r="A1702" s="22">
        <v>2.7049999999999999E-6</v>
      </c>
      <c r="B1702" s="22">
        <v>-2.5000001200000001E-4</v>
      </c>
      <c r="C1702" s="22">
        <f t="shared" si="26"/>
        <v>-0.25000001199999999</v>
      </c>
    </row>
    <row r="1703" spans="1:3" x14ac:dyDescent="0.3">
      <c r="A1703" s="22">
        <v>2.7099999999999999E-6</v>
      </c>
      <c r="B1703" s="22">
        <v>5.1507522999999997E-5</v>
      </c>
      <c r="C1703" s="22">
        <f t="shared" si="26"/>
        <v>5.1507523E-2</v>
      </c>
    </row>
    <row r="1704" spans="1:3" x14ac:dyDescent="0.3">
      <c r="A1704" s="22">
        <v>2.7149999999999998E-6</v>
      </c>
      <c r="B1704" s="22">
        <v>-1.3555276380000001E-3</v>
      </c>
      <c r="C1704" s="22">
        <f t="shared" si="26"/>
        <v>-1.3555276380000001</v>
      </c>
    </row>
    <row r="1705" spans="1:3" x14ac:dyDescent="0.3">
      <c r="A1705" s="22">
        <v>2.7199999999999998E-6</v>
      </c>
      <c r="B1705" s="22">
        <v>-1.154522615E-3</v>
      </c>
      <c r="C1705" s="22">
        <f t="shared" si="26"/>
        <v>-1.1545226150000001</v>
      </c>
    </row>
    <row r="1706" spans="1:3" x14ac:dyDescent="0.3">
      <c r="A1706" s="22">
        <v>2.7250000000000002E-6</v>
      </c>
      <c r="B1706" s="22">
        <v>-1.154522615E-3</v>
      </c>
      <c r="C1706" s="22">
        <f t="shared" si="26"/>
        <v>-1.1545226150000001</v>
      </c>
    </row>
    <row r="1707" spans="1:3" x14ac:dyDescent="0.3">
      <c r="A1707" s="22">
        <v>2.7300000000000001E-6</v>
      </c>
      <c r="B1707" s="22">
        <v>-1.0540201039999999E-3</v>
      </c>
      <c r="C1707" s="22">
        <f t="shared" si="26"/>
        <v>-1.0540201039999999</v>
      </c>
    </row>
    <row r="1708" spans="1:3" x14ac:dyDescent="0.3">
      <c r="A1708" s="22">
        <v>2.7350000000000001E-6</v>
      </c>
      <c r="B1708" s="22">
        <v>-1.556532661E-3</v>
      </c>
      <c r="C1708" s="22">
        <f t="shared" si="26"/>
        <v>-1.5565326609999999</v>
      </c>
    </row>
    <row r="1709" spans="1:3" x14ac:dyDescent="0.3">
      <c r="A1709" s="22">
        <v>2.74E-6</v>
      </c>
      <c r="B1709" s="22">
        <v>-1.958542707E-3</v>
      </c>
      <c r="C1709" s="22">
        <f t="shared" si="26"/>
        <v>-1.9585427069999999</v>
      </c>
    </row>
    <row r="1710" spans="1:3" x14ac:dyDescent="0.3">
      <c r="A1710" s="22">
        <v>2.745E-6</v>
      </c>
      <c r="B1710" s="22">
        <v>-1.7575376840000001E-3</v>
      </c>
      <c r="C1710" s="22">
        <f t="shared" si="26"/>
        <v>-1.7575376840000001</v>
      </c>
    </row>
    <row r="1711" spans="1:3" x14ac:dyDescent="0.3">
      <c r="A1711" s="22">
        <v>2.7499999999999999E-6</v>
      </c>
      <c r="B1711" s="22">
        <v>-1.958542707E-3</v>
      </c>
      <c r="C1711" s="22">
        <f t="shared" si="26"/>
        <v>-1.9585427069999999</v>
      </c>
    </row>
    <row r="1712" spans="1:3" x14ac:dyDescent="0.3">
      <c r="A1712" s="22">
        <v>2.7549999999999999E-6</v>
      </c>
      <c r="B1712" s="22">
        <v>-1.154522615E-3</v>
      </c>
      <c r="C1712" s="22">
        <f t="shared" si="26"/>
        <v>-1.1545226150000001</v>
      </c>
    </row>
    <row r="1713" spans="1:3" x14ac:dyDescent="0.3">
      <c r="A1713" s="22">
        <v>2.7599999999999998E-6</v>
      </c>
      <c r="B1713" s="22">
        <v>-9.5351759199999999E-4</v>
      </c>
      <c r="C1713" s="22">
        <f t="shared" si="26"/>
        <v>-0.95351759199999997</v>
      </c>
    </row>
    <row r="1714" spans="1:3" x14ac:dyDescent="0.3">
      <c r="A1714" s="22">
        <v>2.7650000000000002E-6</v>
      </c>
      <c r="B1714" s="22">
        <v>-3.5050252300000001E-4</v>
      </c>
      <c r="C1714" s="22">
        <f t="shared" si="26"/>
        <v>-0.35050252300000001</v>
      </c>
    </row>
    <row r="1715" spans="1:3" x14ac:dyDescent="0.3">
      <c r="A1715" s="22">
        <v>2.7700000000000002E-6</v>
      </c>
      <c r="B1715" s="22">
        <v>-1.0540201039999999E-3</v>
      </c>
      <c r="C1715" s="22">
        <f t="shared" si="26"/>
        <v>-1.0540201039999999</v>
      </c>
    </row>
    <row r="1716" spans="1:3" x14ac:dyDescent="0.3">
      <c r="A1716" s="22">
        <v>2.7750000000000001E-6</v>
      </c>
      <c r="B1716" s="22">
        <v>-8.5301508100000005E-4</v>
      </c>
      <c r="C1716" s="22">
        <f t="shared" si="26"/>
        <v>-0.85301508100000001</v>
      </c>
    </row>
    <row r="1717" spans="1:3" x14ac:dyDescent="0.3">
      <c r="A1717" s="22">
        <v>2.7800000000000001E-6</v>
      </c>
      <c r="B1717" s="22">
        <v>-1.8580401959999999E-3</v>
      </c>
      <c r="C1717" s="22">
        <f t="shared" si="26"/>
        <v>-1.8580401959999999</v>
      </c>
    </row>
    <row r="1718" spans="1:3" x14ac:dyDescent="0.3">
      <c r="A1718" s="22">
        <v>2.785E-6</v>
      </c>
      <c r="B1718" s="22">
        <v>-1.8580401959999999E-3</v>
      </c>
      <c r="C1718" s="22">
        <f t="shared" si="26"/>
        <v>-1.8580401959999999</v>
      </c>
    </row>
    <row r="1719" spans="1:3" x14ac:dyDescent="0.3">
      <c r="A1719" s="22">
        <v>2.79E-6</v>
      </c>
      <c r="B1719" s="22">
        <v>-1.7575376840000001E-3</v>
      </c>
      <c r="C1719" s="22">
        <f t="shared" si="26"/>
        <v>-1.7575376840000001</v>
      </c>
    </row>
    <row r="1720" spans="1:3" x14ac:dyDescent="0.3">
      <c r="A1720" s="22">
        <v>2.7949999999999999E-6</v>
      </c>
      <c r="B1720" s="22">
        <v>-9.5351759199999999E-4</v>
      </c>
      <c r="C1720" s="22">
        <f t="shared" si="26"/>
        <v>-0.95351759199999997</v>
      </c>
    </row>
    <row r="1721" spans="1:3" x14ac:dyDescent="0.3">
      <c r="A1721" s="22">
        <v>2.7999999999999999E-6</v>
      </c>
      <c r="B1721" s="22">
        <v>-1.0540201039999999E-3</v>
      </c>
      <c r="C1721" s="22">
        <f t="shared" si="26"/>
        <v>-1.0540201039999999</v>
      </c>
    </row>
    <row r="1722" spans="1:3" x14ac:dyDescent="0.3">
      <c r="A1722" s="22">
        <v>2.8049999999999998E-6</v>
      </c>
      <c r="B1722" s="22">
        <v>-1.154522615E-3</v>
      </c>
      <c r="C1722" s="22">
        <f t="shared" si="26"/>
        <v>-1.1545226150000001</v>
      </c>
    </row>
    <row r="1723" spans="1:3" x14ac:dyDescent="0.3">
      <c r="A1723" s="22">
        <v>2.8100000000000002E-6</v>
      </c>
      <c r="B1723" s="22">
        <v>-1.958542707E-3</v>
      </c>
      <c r="C1723" s="22">
        <f t="shared" si="26"/>
        <v>-1.9585427069999999</v>
      </c>
    </row>
    <row r="1724" spans="1:3" x14ac:dyDescent="0.3">
      <c r="A1724" s="22">
        <v>2.8150000000000002E-6</v>
      </c>
      <c r="B1724" s="22">
        <v>-2.3605527530000002E-3</v>
      </c>
      <c r="C1724" s="22">
        <f t="shared" si="26"/>
        <v>-2.3605527530000003</v>
      </c>
    </row>
    <row r="1725" spans="1:3" x14ac:dyDescent="0.3">
      <c r="A1725" s="22">
        <v>2.8200000000000001E-6</v>
      </c>
      <c r="B1725" s="22">
        <v>-1.958542707E-3</v>
      </c>
      <c r="C1725" s="22">
        <f t="shared" si="26"/>
        <v>-1.9585427069999999</v>
      </c>
    </row>
    <row r="1726" spans="1:3" x14ac:dyDescent="0.3">
      <c r="A1726" s="22">
        <v>2.8250000000000001E-6</v>
      </c>
      <c r="B1726" s="22">
        <v>-2.1595477300000001E-3</v>
      </c>
      <c r="C1726" s="22">
        <f t="shared" si="26"/>
        <v>-2.1595477299999999</v>
      </c>
    </row>
    <row r="1727" spans="1:3" x14ac:dyDescent="0.3">
      <c r="A1727" s="22">
        <v>2.83E-6</v>
      </c>
      <c r="B1727" s="22">
        <v>-2.2600502419999999E-3</v>
      </c>
      <c r="C1727" s="22">
        <f t="shared" si="26"/>
        <v>-2.2600502419999997</v>
      </c>
    </row>
    <row r="1728" spans="1:3" x14ac:dyDescent="0.3">
      <c r="A1728" s="22">
        <v>2.835E-6</v>
      </c>
      <c r="B1728" s="22">
        <v>-1.154522615E-3</v>
      </c>
      <c r="C1728" s="22">
        <f t="shared" si="26"/>
        <v>-1.1545226150000001</v>
      </c>
    </row>
    <row r="1729" spans="1:3" x14ac:dyDescent="0.3">
      <c r="A1729" s="22">
        <v>2.8399999999999999E-6</v>
      </c>
      <c r="B1729" s="22">
        <v>-1.4560301499999999E-3</v>
      </c>
      <c r="C1729" s="22">
        <f t="shared" si="26"/>
        <v>-1.4560301499999999</v>
      </c>
    </row>
    <row r="1730" spans="1:3" x14ac:dyDescent="0.3">
      <c r="A1730" s="22">
        <v>2.8449999999999999E-6</v>
      </c>
      <c r="B1730" s="22">
        <v>-2.2600502419999999E-3</v>
      </c>
      <c r="C1730" s="22">
        <f t="shared" si="26"/>
        <v>-2.2600502419999997</v>
      </c>
    </row>
    <row r="1731" spans="1:3" x14ac:dyDescent="0.3">
      <c r="A1731" s="22">
        <v>2.8499999999999998E-6</v>
      </c>
      <c r="B1731" s="22">
        <v>-7.52512569E-4</v>
      </c>
      <c r="C1731" s="22">
        <f t="shared" si="26"/>
        <v>-0.75251256899999996</v>
      </c>
    </row>
    <row r="1732" spans="1:3" x14ac:dyDescent="0.3">
      <c r="A1732" s="22">
        <v>2.8550000000000002E-6</v>
      </c>
      <c r="B1732" s="22">
        <v>-1.556532661E-3</v>
      </c>
      <c r="C1732" s="22">
        <f t="shared" ref="C1732:C1795" si="27">B1732*10^3</f>
        <v>-1.5565326609999999</v>
      </c>
    </row>
    <row r="1733" spans="1:3" x14ac:dyDescent="0.3">
      <c r="A1733" s="22">
        <v>2.8600000000000001E-6</v>
      </c>
      <c r="B1733" s="22">
        <v>-1.4560301499999999E-3</v>
      </c>
      <c r="C1733" s="22">
        <f t="shared" si="27"/>
        <v>-1.4560301499999999</v>
      </c>
    </row>
    <row r="1734" spans="1:3" x14ac:dyDescent="0.3">
      <c r="A1734" s="22">
        <v>2.8650000000000001E-6</v>
      </c>
      <c r="B1734" s="22">
        <v>-9.5351759199999999E-4</v>
      </c>
      <c r="C1734" s="22">
        <f t="shared" si="27"/>
        <v>-0.95351759199999997</v>
      </c>
    </row>
    <row r="1735" spans="1:3" x14ac:dyDescent="0.3">
      <c r="A1735" s="22">
        <v>2.8700000000000001E-6</v>
      </c>
      <c r="B1735" s="22">
        <v>-1.8580401959999999E-3</v>
      </c>
      <c r="C1735" s="22">
        <f t="shared" si="27"/>
        <v>-1.8580401959999999</v>
      </c>
    </row>
    <row r="1736" spans="1:3" x14ac:dyDescent="0.3">
      <c r="A1736" s="22">
        <v>2.875E-6</v>
      </c>
      <c r="B1736" s="22">
        <v>-1.7575376840000001E-3</v>
      </c>
      <c r="C1736" s="22">
        <f t="shared" si="27"/>
        <v>-1.7575376840000001</v>
      </c>
    </row>
    <row r="1737" spans="1:3" x14ac:dyDescent="0.3">
      <c r="A1737" s="22">
        <v>2.88E-6</v>
      </c>
      <c r="B1737" s="22">
        <v>-1.958542707E-3</v>
      </c>
      <c r="C1737" s="22">
        <f t="shared" si="27"/>
        <v>-1.9585427069999999</v>
      </c>
    </row>
    <row r="1738" spans="1:3" x14ac:dyDescent="0.3">
      <c r="A1738" s="22">
        <v>2.8849999999999999E-6</v>
      </c>
      <c r="B1738" s="22">
        <v>-2.2600502419999999E-3</v>
      </c>
      <c r="C1738" s="22">
        <f t="shared" si="27"/>
        <v>-2.2600502419999997</v>
      </c>
    </row>
    <row r="1739" spans="1:3" x14ac:dyDescent="0.3">
      <c r="A1739" s="22">
        <v>2.8899999999999999E-6</v>
      </c>
      <c r="B1739" s="22">
        <v>-2.3605527530000002E-3</v>
      </c>
      <c r="C1739" s="22">
        <f t="shared" si="27"/>
        <v>-2.3605527530000003</v>
      </c>
    </row>
    <row r="1740" spans="1:3" x14ac:dyDescent="0.3">
      <c r="A1740" s="22">
        <v>2.8949999999999998E-6</v>
      </c>
      <c r="B1740" s="22">
        <v>-2.3605527530000002E-3</v>
      </c>
      <c r="C1740" s="22">
        <f t="shared" si="27"/>
        <v>-2.3605527530000003</v>
      </c>
    </row>
    <row r="1741" spans="1:3" x14ac:dyDescent="0.3">
      <c r="A1741" s="22">
        <v>2.9000000000000002E-6</v>
      </c>
      <c r="B1741" s="22">
        <v>-2.3605527530000002E-3</v>
      </c>
      <c r="C1741" s="22">
        <f t="shared" si="27"/>
        <v>-2.3605527530000003</v>
      </c>
    </row>
    <row r="1742" spans="1:3" x14ac:dyDescent="0.3">
      <c r="A1742" s="22">
        <v>2.9050000000000001E-6</v>
      </c>
      <c r="B1742" s="22">
        <v>-2.5615577759999998E-3</v>
      </c>
      <c r="C1742" s="22">
        <f t="shared" si="27"/>
        <v>-2.5615577759999999</v>
      </c>
    </row>
    <row r="1743" spans="1:3" x14ac:dyDescent="0.3">
      <c r="A1743" s="22">
        <v>2.9100000000000001E-6</v>
      </c>
      <c r="B1743" s="22">
        <v>-2.2600502419999999E-3</v>
      </c>
      <c r="C1743" s="22">
        <f t="shared" si="27"/>
        <v>-2.2600502419999997</v>
      </c>
    </row>
    <row r="1744" spans="1:3" x14ac:dyDescent="0.3">
      <c r="A1744" s="22">
        <v>2.915E-6</v>
      </c>
      <c r="B1744" s="22">
        <v>-1.8580401959999999E-3</v>
      </c>
      <c r="C1744" s="22">
        <f t="shared" si="27"/>
        <v>-1.8580401959999999</v>
      </c>
    </row>
    <row r="1745" spans="1:3" x14ac:dyDescent="0.3">
      <c r="A1745" s="22">
        <v>2.92E-6</v>
      </c>
      <c r="B1745" s="22">
        <v>-2.2600502419999999E-3</v>
      </c>
      <c r="C1745" s="22">
        <f t="shared" si="27"/>
        <v>-2.2600502419999997</v>
      </c>
    </row>
    <row r="1746" spans="1:3" x14ac:dyDescent="0.3">
      <c r="A1746" s="22">
        <v>2.9249999999999999E-6</v>
      </c>
      <c r="B1746" s="22">
        <v>-2.1595477300000001E-3</v>
      </c>
      <c r="C1746" s="22">
        <f t="shared" si="27"/>
        <v>-2.1595477299999999</v>
      </c>
    </row>
    <row r="1747" spans="1:3" x14ac:dyDescent="0.3">
      <c r="A1747" s="22">
        <v>2.9299999999999999E-6</v>
      </c>
      <c r="B1747" s="22">
        <v>-2.6620602880000001E-3</v>
      </c>
      <c r="C1747" s="22">
        <f t="shared" si="27"/>
        <v>-2.6620602880000002</v>
      </c>
    </row>
    <row r="1748" spans="1:3" x14ac:dyDescent="0.3">
      <c r="A1748" s="22">
        <v>2.9349999999999999E-6</v>
      </c>
      <c r="B1748" s="22">
        <v>-2.6620602880000001E-3</v>
      </c>
      <c r="C1748" s="22">
        <f t="shared" si="27"/>
        <v>-2.6620602880000002</v>
      </c>
    </row>
    <row r="1749" spans="1:3" x14ac:dyDescent="0.3">
      <c r="A1749" s="22">
        <v>2.9399999999999998E-6</v>
      </c>
      <c r="B1749" s="22">
        <v>-2.2600502419999999E-3</v>
      </c>
      <c r="C1749" s="22">
        <f t="shared" si="27"/>
        <v>-2.2600502419999997</v>
      </c>
    </row>
    <row r="1750" spans="1:3" x14ac:dyDescent="0.3">
      <c r="A1750" s="22">
        <v>2.9450000000000002E-6</v>
      </c>
      <c r="B1750" s="22">
        <v>-1.8580401959999999E-3</v>
      </c>
      <c r="C1750" s="22">
        <f t="shared" si="27"/>
        <v>-1.8580401959999999</v>
      </c>
    </row>
    <row r="1751" spans="1:3" x14ac:dyDescent="0.3">
      <c r="A1751" s="22">
        <v>2.9500000000000001E-6</v>
      </c>
      <c r="B1751" s="22">
        <v>-1.958542707E-3</v>
      </c>
      <c r="C1751" s="22">
        <f t="shared" si="27"/>
        <v>-1.9585427069999999</v>
      </c>
    </row>
    <row r="1752" spans="1:3" x14ac:dyDescent="0.3">
      <c r="A1752" s="22">
        <v>2.9550000000000001E-6</v>
      </c>
      <c r="B1752" s="22">
        <v>-2.2600502419999999E-3</v>
      </c>
      <c r="C1752" s="22">
        <f t="shared" si="27"/>
        <v>-2.2600502419999997</v>
      </c>
    </row>
    <row r="1753" spans="1:3" x14ac:dyDescent="0.3">
      <c r="A1753" s="22">
        <v>2.96E-6</v>
      </c>
      <c r="B1753" s="22">
        <v>-3.3655778679999998E-3</v>
      </c>
      <c r="C1753" s="22">
        <f t="shared" si="27"/>
        <v>-3.3655778679999999</v>
      </c>
    </row>
    <row r="1754" spans="1:3" x14ac:dyDescent="0.3">
      <c r="A1754" s="22">
        <v>2.965E-6</v>
      </c>
      <c r="B1754" s="22">
        <v>-3.0640703329999999E-3</v>
      </c>
      <c r="C1754" s="22">
        <f t="shared" si="27"/>
        <v>-3.0640703330000001</v>
      </c>
    </row>
    <row r="1755" spans="1:3" x14ac:dyDescent="0.3">
      <c r="A1755" s="22">
        <v>2.9699999999999999E-6</v>
      </c>
      <c r="B1755" s="22">
        <v>-3.5665828909999999E-3</v>
      </c>
      <c r="C1755" s="22">
        <f t="shared" si="27"/>
        <v>-3.5665828909999999</v>
      </c>
    </row>
    <row r="1756" spans="1:3" x14ac:dyDescent="0.3">
      <c r="A1756" s="22">
        <v>2.9749999999999999E-6</v>
      </c>
      <c r="B1756" s="22">
        <v>-3.4660803790000001E-3</v>
      </c>
      <c r="C1756" s="22">
        <f t="shared" si="27"/>
        <v>-3.4660803790000001</v>
      </c>
    </row>
    <row r="1757" spans="1:3" x14ac:dyDescent="0.3">
      <c r="A1757" s="22">
        <v>2.9799999999999998E-6</v>
      </c>
      <c r="B1757" s="22">
        <v>-3.1645728450000001E-3</v>
      </c>
      <c r="C1757" s="22">
        <f t="shared" si="27"/>
        <v>-3.1645728450000004</v>
      </c>
    </row>
    <row r="1758" spans="1:3" x14ac:dyDescent="0.3">
      <c r="A1758" s="22">
        <v>2.9849999999999998E-6</v>
      </c>
      <c r="B1758" s="22">
        <v>-2.963567822E-3</v>
      </c>
      <c r="C1758" s="22">
        <f t="shared" si="27"/>
        <v>-2.9635678219999999</v>
      </c>
    </row>
    <row r="1759" spans="1:3" x14ac:dyDescent="0.3">
      <c r="A1759" s="22">
        <v>2.9900000000000002E-6</v>
      </c>
      <c r="B1759" s="22">
        <v>-1.556532661E-3</v>
      </c>
      <c r="C1759" s="22">
        <f t="shared" si="27"/>
        <v>-1.5565326609999999</v>
      </c>
    </row>
    <row r="1760" spans="1:3" x14ac:dyDescent="0.3">
      <c r="A1760" s="22">
        <v>2.9950000000000001E-6</v>
      </c>
      <c r="B1760" s="22">
        <v>-1.7575376840000001E-3</v>
      </c>
      <c r="C1760" s="22">
        <f t="shared" si="27"/>
        <v>-1.7575376840000001</v>
      </c>
    </row>
    <row r="1761" spans="1:3" x14ac:dyDescent="0.3">
      <c r="A1761" s="22">
        <v>3.0000000000000001E-6</v>
      </c>
      <c r="B1761" s="22">
        <v>-1.255025127E-3</v>
      </c>
      <c r="C1761" s="22">
        <f t="shared" si="27"/>
        <v>-1.2550251270000001</v>
      </c>
    </row>
    <row r="1762" spans="1:3" x14ac:dyDescent="0.3">
      <c r="A1762" s="22">
        <v>3.005E-6</v>
      </c>
      <c r="B1762" s="22">
        <v>-1.556532661E-3</v>
      </c>
      <c r="C1762" s="22">
        <f t="shared" si="27"/>
        <v>-1.5565326609999999</v>
      </c>
    </row>
    <row r="1763" spans="1:3" x14ac:dyDescent="0.3">
      <c r="A1763" s="22">
        <v>3.01E-6</v>
      </c>
      <c r="B1763" s="22">
        <v>-1.556532661E-3</v>
      </c>
      <c r="C1763" s="22">
        <f t="shared" si="27"/>
        <v>-1.5565326609999999</v>
      </c>
    </row>
    <row r="1764" spans="1:3" x14ac:dyDescent="0.3">
      <c r="A1764" s="22">
        <v>3.0149999999999999E-6</v>
      </c>
      <c r="B1764" s="22">
        <v>-2.3605527530000002E-3</v>
      </c>
      <c r="C1764" s="22">
        <f t="shared" si="27"/>
        <v>-2.3605527530000003</v>
      </c>
    </row>
    <row r="1765" spans="1:3" x14ac:dyDescent="0.3">
      <c r="A1765" s="22">
        <v>3.0199999999999999E-6</v>
      </c>
      <c r="B1765" s="22">
        <v>-1.4560301499999999E-3</v>
      </c>
      <c r="C1765" s="22">
        <f t="shared" si="27"/>
        <v>-1.4560301499999999</v>
      </c>
    </row>
    <row r="1766" spans="1:3" x14ac:dyDescent="0.3">
      <c r="A1766" s="22">
        <v>3.0249999999999998E-6</v>
      </c>
      <c r="B1766" s="22">
        <v>-1.958542707E-3</v>
      </c>
      <c r="C1766" s="22">
        <f t="shared" si="27"/>
        <v>-1.9585427069999999</v>
      </c>
    </row>
    <row r="1767" spans="1:3" x14ac:dyDescent="0.3">
      <c r="A1767" s="22">
        <v>3.0299999999999998E-6</v>
      </c>
      <c r="B1767" s="22">
        <v>-1.958542707E-3</v>
      </c>
      <c r="C1767" s="22">
        <f t="shared" si="27"/>
        <v>-1.9585427069999999</v>
      </c>
    </row>
    <row r="1768" spans="1:3" x14ac:dyDescent="0.3">
      <c r="A1768" s="22">
        <v>3.0350000000000002E-6</v>
      </c>
      <c r="B1768" s="22">
        <v>-6.5201005800000005E-4</v>
      </c>
      <c r="C1768" s="22">
        <f t="shared" si="27"/>
        <v>-0.652010058</v>
      </c>
    </row>
    <row r="1769" spans="1:3" x14ac:dyDescent="0.3">
      <c r="A1769" s="22">
        <v>3.0400000000000001E-6</v>
      </c>
      <c r="B1769" s="22">
        <v>-1.3555276380000001E-3</v>
      </c>
      <c r="C1769" s="22">
        <f t="shared" si="27"/>
        <v>-1.3555276380000001</v>
      </c>
    </row>
    <row r="1770" spans="1:3" x14ac:dyDescent="0.3">
      <c r="A1770" s="22">
        <v>3.0450000000000001E-6</v>
      </c>
      <c r="B1770" s="22">
        <v>-1.0540201039999999E-3</v>
      </c>
      <c r="C1770" s="22">
        <f t="shared" si="27"/>
        <v>-1.0540201039999999</v>
      </c>
    </row>
    <row r="1771" spans="1:3" x14ac:dyDescent="0.3">
      <c r="A1771" s="22">
        <v>3.05E-6</v>
      </c>
      <c r="B1771" s="22">
        <v>-2.5000001200000001E-4</v>
      </c>
      <c r="C1771" s="22">
        <f t="shared" si="27"/>
        <v>-0.25000001199999999</v>
      </c>
    </row>
    <row r="1772" spans="1:3" x14ac:dyDescent="0.3">
      <c r="A1772" s="22">
        <v>3.055E-6</v>
      </c>
      <c r="B1772" s="22">
        <v>-2.5000001200000001E-4</v>
      </c>
      <c r="C1772" s="22">
        <f t="shared" si="27"/>
        <v>-0.25000001199999999</v>
      </c>
    </row>
    <row r="1773" spans="1:3" x14ac:dyDescent="0.3">
      <c r="A1773" s="22">
        <v>3.0599999999999999E-6</v>
      </c>
      <c r="B1773" s="22">
        <v>-5.51507546E-4</v>
      </c>
      <c r="C1773" s="22">
        <f t="shared" si="27"/>
        <v>-0.55150754599999996</v>
      </c>
    </row>
    <row r="1774" spans="1:3" x14ac:dyDescent="0.3">
      <c r="A1774" s="22">
        <v>3.0649999999999999E-6</v>
      </c>
      <c r="B1774" s="22">
        <v>8.5552761399999996E-4</v>
      </c>
      <c r="C1774" s="22">
        <f t="shared" si="27"/>
        <v>0.85552761399999999</v>
      </c>
    </row>
    <row r="1775" spans="1:3" x14ac:dyDescent="0.3">
      <c r="A1775" s="22">
        <v>3.0699999999999998E-6</v>
      </c>
      <c r="B1775" s="22">
        <v>5.5402008000000002E-4</v>
      </c>
      <c r="C1775" s="22">
        <f t="shared" si="27"/>
        <v>0.55402008000000003</v>
      </c>
    </row>
    <row r="1776" spans="1:3" x14ac:dyDescent="0.3">
      <c r="A1776" s="22">
        <v>3.0750000000000002E-6</v>
      </c>
      <c r="B1776" s="22">
        <v>8.5552761399999996E-4</v>
      </c>
      <c r="C1776" s="22">
        <f t="shared" si="27"/>
        <v>0.85552761399999999</v>
      </c>
    </row>
    <row r="1777" spans="1:3" x14ac:dyDescent="0.3">
      <c r="A1777" s="22">
        <v>3.0800000000000002E-6</v>
      </c>
      <c r="B1777" s="22">
        <v>8.5552761399999996E-4</v>
      </c>
      <c r="C1777" s="22">
        <f t="shared" si="27"/>
        <v>0.85552761399999999</v>
      </c>
    </row>
    <row r="1778" spans="1:3" x14ac:dyDescent="0.3">
      <c r="A1778" s="22">
        <v>3.0850000000000001E-6</v>
      </c>
      <c r="B1778" s="22">
        <v>6.5452259199999996E-4</v>
      </c>
      <c r="C1778" s="22">
        <f t="shared" si="27"/>
        <v>0.65452259199999996</v>
      </c>
    </row>
    <row r="1779" spans="1:3" x14ac:dyDescent="0.3">
      <c r="A1779" s="22">
        <v>3.0900000000000001E-6</v>
      </c>
      <c r="B1779" s="22">
        <v>5.5402008000000002E-4</v>
      </c>
      <c r="C1779" s="22">
        <f t="shared" si="27"/>
        <v>0.55402008000000003</v>
      </c>
    </row>
    <row r="1780" spans="1:3" x14ac:dyDescent="0.3">
      <c r="A1780" s="22">
        <v>3.095E-6</v>
      </c>
      <c r="B1780" s="22">
        <v>6.5452259199999996E-4</v>
      </c>
      <c r="C1780" s="22">
        <f t="shared" si="27"/>
        <v>0.65452259199999996</v>
      </c>
    </row>
    <row r="1781" spans="1:3" x14ac:dyDescent="0.3">
      <c r="A1781" s="22">
        <v>3.1E-6</v>
      </c>
      <c r="B1781" s="22">
        <v>6.5452259199999996E-4</v>
      </c>
      <c r="C1781" s="22">
        <f t="shared" si="27"/>
        <v>0.65452259199999996</v>
      </c>
    </row>
    <row r="1782" spans="1:3" x14ac:dyDescent="0.3">
      <c r="A1782" s="22">
        <v>3.1049999999999999E-6</v>
      </c>
      <c r="B1782" s="22">
        <v>1.860552729E-3</v>
      </c>
      <c r="C1782" s="22">
        <f t="shared" si="27"/>
        <v>1.8605527290000001</v>
      </c>
    </row>
    <row r="1783" spans="1:3" x14ac:dyDescent="0.3">
      <c r="A1783" s="22">
        <v>3.1099999999999999E-6</v>
      </c>
      <c r="B1783" s="22">
        <v>9.56030126E-4</v>
      </c>
      <c r="C1783" s="22">
        <f t="shared" si="27"/>
        <v>0.95603012600000004</v>
      </c>
    </row>
    <row r="1784" spans="1:3" x14ac:dyDescent="0.3">
      <c r="A1784" s="22">
        <v>3.1149999999999998E-6</v>
      </c>
      <c r="B1784" s="22">
        <v>9.56030126E-4</v>
      </c>
      <c r="C1784" s="22">
        <f t="shared" si="27"/>
        <v>0.95603012600000004</v>
      </c>
    </row>
    <row r="1785" spans="1:3" x14ac:dyDescent="0.3">
      <c r="A1785" s="22">
        <v>3.1200000000000002E-6</v>
      </c>
      <c r="B1785" s="22">
        <v>8.5552761399999996E-4</v>
      </c>
      <c r="C1785" s="22">
        <f t="shared" si="27"/>
        <v>0.85552761399999999</v>
      </c>
    </row>
    <row r="1786" spans="1:3" x14ac:dyDescent="0.3">
      <c r="A1786" s="22">
        <v>3.1250000000000001E-6</v>
      </c>
      <c r="B1786" s="22">
        <v>1.358040172E-3</v>
      </c>
      <c r="C1786" s="22">
        <f t="shared" si="27"/>
        <v>1.3580401719999999</v>
      </c>
    </row>
    <row r="1787" spans="1:3" x14ac:dyDescent="0.3">
      <c r="A1787" s="22">
        <v>3.1300000000000001E-6</v>
      </c>
      <c r="B1787" s="22">
        <v>9.56030126E-4</v>
      </c>
      <c r="C1787" s="22">
        <f t="shared" si="27"/>
        <v>0.95603012600000004</v>
      </c>
    </row>
    <row r="1788" spans="1:3" x14ac:dyDescent="0.3">
      <c r="A1788" s="22">
        <v>3.1350000000000001E-6</v>
      </c>
      <c r="B1788" s="22">
        <v>5.5402008000000002E-4</v>
      </c>
      <c r="C1788" s="22">
        <f t="shared" si="27"/>
        <v>0.55402008000000003</v>
      </c>
    </row>
    <row r="1789" spans="1:3" x14ac:dyDescent="0.3">
      <c r="A1789" s="22">
        <v>3.14E-6</v>
      </c>
      <c r="B1789" s="22">
        <v>5.5402008000000002E-4</v>
      </c>
      <c r="C1789" s="22">
        <f t="shared" si="27"/>
        <v>0.55402008000000003</v>
      </c>
    </row>
    <row r="1790" spans="1:3" x14ac:dyDescent="0.3">
      <c r="A1790" s="22">
        <v>3.145E-6</v>
      </c>
      <c r="B1790" s="22">
        <v>6.5452259199999996E-4</v>
      </c>
      <c r="C1790" s="22">
        <f t="shared" si="27"/>
        <v>0.65452259199999996</v>
      </c>
    </row>
    <row r="1791" spans="1:3" x14ac:dyDescent="0.3">
      <c r="A1791" s="22">
        <v>3.1499999999999999E-6</v>
      </c>
      <c r="B1791" s="22">
        <v>5.1507522999999997E-5</v>
      </c>
      <c r="C1791" s="22">
        <f t="shared" si="27"/>
        <v>5.1507523E-2</v>
      </c>
    </row>
    <row r="1792" spans="1:3" x14ac:dyDescent="0.3">
      <c r="A1792" s="22">
        <v>3.1549999999999999E-6</v>
      </c>
      <c r="B1792" s="22">
        <v>5.1507522999999997E-5</v>
      </c>
      <c r="C1792" s="22">
        <f t="shared" si="27"/>
        <v>5.1507523E-2</v>
      </c>
    </row>
    <row r="1793" spans="1:3" x14ac:dyDescent="0.3">
      <c r="A1793" s="22">
        <v>3.1599999999999998E-6</v>
      </c>
      <c r="B1793" s="22">
        <v>-1.0540201039999999E-3</v>
      </c>
      <c r="C1793" s="22">
        <f t="shared" si="27"/>
        <v>-1.0540201039999999</v>
      </c>
    </row>
    <row r="1794" spans="1:3" x14ac:dyDescent="0.3">
      <c r="A1794" s="22">
        <v>3.1650000000000002E-6</v>
      </c>
      <c r="B1794" s="22">
        <v>-1.8580401959999999E-3</v>
      </c>
      <c r="C1794" s="22">
        <f t="shared" si="27"/>
        <v>-1.8580401959999999</v>
      </c>
    </row>
    <row r="1795" spans="1:3" x14ac:dyDescent="0.3">
      <c r="A1795" s="22">
        <v>3.1700000000000001E-6</v>
      </c>
      <c r="B1795" s="22">
        <v>-1.8580401959999999E-3</v>
      </c>
      <c r="C1795" s="22">
        <f t="shared" si="27"/>
        <v>-1.8580401959999999</v>
      </c>
    </row>
    <row r="1796" spans="1:3" x14ac:dyDescent="0.3">
      <c r="A1796" s="22">
        <v>3.1750000000000001E-6</v>
      </c>
      <c r="B1796" s="22">
        <v>-3.3655778679999998E-3</v>
      </c>
      <c r="C1796" s="22">
        <f t="shared" ref="C1796:C1859" si="28">B1796*10^3</f>
        <v>-3.3655778679999999</v>
      </c>
    </row>
    <row r="1797" spans="1:3" x14ac:dyDescent="0.3">
      <c r="A1797" s="22">
        <v>3.18E-6</v>
      </c>
      <c r="B1797" s="22">
        <v>-2.2600502419999999E-3</v>
      </c>
      <c r="C1797" s="22">
        <f t="shared" si="28"/>
        <v>-2.2600502419999997</v>
      </c>
    </row>
    <row r="1798" spans="1:3" x14ac:dyDescent="0.3">
      <c r="A1798" s="22">
        <v>3.185E-6</v>
      </c>
      <c r="B1798" s="22">
        <v>-2.963567822E-3</v>
      </c>
      <c r="C1798" s="22">
        <f t="shared" si="28"/>
        <v>-2.9635678219999999</v>
      </c>
    </row>
    <row r="1799" spans="1:3" x14ac:dyDescent="0.3">
      <c r="A1799" s="22">
        <v>3.19E-6</v>
      </c>
      <c r="B1799" s="22">
        <v>-3.0640703329999999E-3</v>
      </c>
      <c r="C1799" s="22">
        <f t="shared" si="28"/>
        <v>-3.0640703330000001</v>
      </c>
    </row>
    <row r="1800" spans="1:3" x14ac:dyDescent="0.3">
      <c r="A1800" s="22">
        <v>3.1949999999999999E-6</v>
      </c>
      <c r="B1800" s="22">
        <v>-3.0640703329999999E-3</v>
      </c>
      <c r="C1800" s="22">
        <f t="shared" si="28"/>
        <v>-3.0640703330000001</v>
      </c>
    </row>
    <row r="1801" spans="1:3" x14ac:dyDescent="0.3">
      <c r="A1801" s="22">
        <v>3.1999999999999999E-6</v>
      </c>
      <c r="B1801" s="22">
        <v>-3.8680904249999998E-3</v>
      </c>
      <c r="C1801" s="22">
        <f t="shared" si="28"/>
        <v>-3.8680904249999997</v>
      </c>
    </row>
    <row r="1802" spans="1:3" x14ac:dyDescent="0.3">
      <c r="A1802" s="22">
        <v>3.2049999999999998E-6</v>
      </c>
      <c r="B1802" s="22">
        <v>-3.4660803790000001E-3</v>
      </c>
      <c r="C1802" s="22">
        <f t="shared" si="28"/>
        <v>-3.4660803790000001</v>
      </c>
    </row>
    <row r="1803" spans="1:3" x14ac:dyDescent="0.3">
      <c r="A1803" s="22">
        <v>3.2100000000000002E-6</v>
      </c>
      <c r="B1803" s="22">
        <v>-3.3655778679999998E-3</v>
      </c>
      <c r="C1803" s="22">
        <f t="shared" si="28"/>
        <v>-3.3655778679999999</v>
      </c>
    </row>
    <row r="1804" spans="1:3" x14ac:dyDescent="0.3">
      <c r="A1804" s="22">
        <v>3.2150000000000001E-6</v>
      </c>
      <c r="B1804" s="22">
        <v>-4.5716080060000004E-3</v>
      </c>
      <c r="C1804" s="22">
        <f t="shared" si="28"/>
        <v>-4.5716080060000008</v>
      </c>
    </row>
    <row r="1805" spans="1:3" x14ac:dyDescent="0.3">
      <c r="A1805" s="22">
        <v>3.2200000000000001E-6</v>
      </c>
      <c r="B1805" s="22">
        <v>-5.878140655E-3</v>
      </c>
      <c r="C1805" s="22">
        <f t="shared" si="28"/>
        <v>-5.8781406550000002</v>
      </c>
    </row>
    <row r="1806" spans="1:3" x14ac:dyDescent="0.3">
      <c r="A1806" s="22">
        <v>3.225E-6</v>
      </c>
      <c r="B1806" s="22">
        <v>-5.7776381440000002E-3</v>
      </c>
      <c r="C1806" s="22">
        <f t="shared" si="28"/>
        <v>-5.777638144</v>
      </c>
    </row>
    <row r="1807" spans="1:3" x14ac:dyDescent="0.3">
      <c r="A1807" s="22">
        <v>3.23E-6</v>
      </c>
      <c r="B1807" s="22">
        <v>-5.1746230749999999E-3</v>
      </c>
      <c r="C1807" s="22">
        <f t="shared" si="28"/>
        <v>-5.1746230749999995</v>
      </c>
    </row>
    <row r="1808" spans="1:3" x14ac:dyDescent="0.3">
      <c r="A1808" s="22">
        <v>3.2349999999999999E-6</v>
      </c>
      <c r="B1808" s="22">
        <v>-4.2701004710000001E-3</v>
      </c>
      <c r="C1808" s="22">
        <f t="shared" si="28"/>
        <v>-4.2701004710000001</v>
      </c>
    </row>
    <row r="1809" spans="1:3" x14ac:dyDescent="0.3">
      <c r="A1809" s="22">
        <v>3.2399999999999999E-6</v>
      </c>
      <c r="B1809" s="22">
        <v>-5.878140655E-3</v>
      </c>
      <c r="C1809" s="22">
        <f t="shared" si="28"/>
        <v>-5.8781406550000002</v>
      </c>
    </row>
    <row r="1810" spans="1:3" x14ac:dyDescent="0.3">
      <c r="A1810" s="22">
        <v>3.2449999999999998E-6</v>
      </c>
      <c r="B1810" s="22">
        <v>-4.6721105170000003E-3</v>
      </c>
      <c r="C1810" s="22">
        <f t="shared" si="28"/>
        <v>-4.6721105170000001</v>
      </c>
    </row>
    <row r="1811" spans="1:3" x14ac:dyDescent="0.3">
      <c r="A1811" s="22">
        <v>3.2499999999999998E-6</v>
      </c>
      <c r="B1811" s="22">
        <v>-4.9736180519999998E-3</v>
      </c>
      <c r="C1811" s="22">
        <f t="shared" si="28"/>
        <v>-4.973618052</v>
      </c>
    </row>
    <row r="1812" spans="1:3" x14ac:dyDescent="0.3">
      <c r="A1812" s="22">
        <v>3.2550000000000002E-6</v>
      </c>
      <c r="B1812" s="22">
        <v>-4.7726130289999997E-3</v>
      </c>
      <c r="C1812" s="22">
        <f t="shared" si="28"/>
        <v>-4.7726130289999995</v>
      </c>
    </row>
    <row r="1813" spans="1:3" x14ac:dyDescent="0.3">
      <c r="A1813" s="22">
        <v>3.2600000000000001E-6</v>
      </c>
      <c r="B1813" s="22">
        <v>-3.9685929370000001E-3</v>
      </c>
      <c r="C1813" s="22">
        <f t="shared" si="28"/>
        <v>-3.9685929369999999</v>
      </c>
    </row>
    <row r="1814" spans="1:3" x14ac:dyDescent="0.3">
      <c r="A1814" s="22">
        <v>3.2650000000000001E-6</v>
      </c>
      <c r="B1814" s="22">
        <v>-2.963567822E-3</v>
      </c>
      <c r="C1814" s="22">
        <f t="shared" si="28"/>
        <v>-2.9635678219999999</v>
      </c>
    </row>
    <row r="1815" spans="1:3" x14ac:dyDescent="0.3">
      <c r="A1815" s="22">
        <v>3.27E-6</v>
      </c>
      <c r="B1815" s="22">
        <v>-1.8580401959999999E-3</v>
      </c>
      <c r="C1815" s="22">
        <f t="shared" si="28"/>
        <v>-1.8580401959999999</v>
      </c>
    </row>
    <row r="1816" spans="1:3" x14ac:dyDescent="0.3">
      <c r="A1816" s="22">
        <v>3.275E-6</v>
      </c>
      <c r="B1816" s="22">
        <v>-7.52512569E-4</v>
      </c>
      <c r="C1816" s="22">
        <f t="shared" si="28"/>
        <v>-0.75251256899999996</v>
      </c>
    </row>
    <row r="1817" spans="1:3" x14ac:dyDescent="0.3">
      <c r="A1817" s="22">
        <v>3.2799999999999999E-6</v>
      </c>
      <c r="B1817" s="22">
        <v>-1.3555276380000001E-3</v>
      </c>
      <c r="C1817" s="22">
        <f t="shared" si="28"/>
        <v>-1.3555276380000001</v>
      </c>
    </row>
    <row r="1818" spans="1:3" x14ac:dyDescent="0.3">
      <c r="A1818" s="22">
        <v>3.2849999999999999E-6</v>
      </c>
      <c r="B1818" s="22">
        <v>-1.556532661E-3</v>
      </c>
      <c r="C1818" s="22">
        <f t="shared" si="28"/>
        <v>-1.5565326609999999</v>
      </c>
    </row>
    <row r="1819" spans="1:3" x14ac:dyDescent="0.3">
      <c r="A1819" s="22">
        <v>3.2899999999999998E-6</v>
      </c>
      <c r="B1819" s="22">
        <v>-4.5100503500000001E-4</v>
      </c>
      <c r="C1819" s="22">
        <f t="shared" si="28"/>
        <v>-0.451005035</v>
      </c>
    </row>
    <row r="1820" spans="1:3" x14ac:dyDescent="0.3">
      <c r="A1820" s="22">
        <v>3.2949999999999998E-6</v>
      </c>
      <c r="B1820" s="22">
        <v>-6.5201005800000005E-4</v>
      </c>
      <c r="C1820" s="22">
        <f t="shared" si="28"/>
        <v>-0.652010058</v>
      </c>
    </row>
    <row r="1821" spans="1:3" x14ac:dyDescent="0.3">
      <c r="A1821" s="22">
        <v>3.3000000000000002E-6</v>
      </c>
      <c r="B1821" s="22">
        <v>-7.52512569E-4</v>
      </c>
      <c r="C1821" s="22">
        <f t="shared" si="28"/>
        <v>-0.75251256899999996</v>
      </c>
    </row>
    <row r="1822" spans="1:3" x14ac:dyDescent="0.3">
      <c r="A1822" s="22">
        <v>3.3050000000000001E-6</v>
      </c>
      <c r="B1822" s="22">
        <v>-3.5050252300000001E-4</v>
      </c>
      <c r="C1822" s="22">
        <f t="shared" si="28"/>
        <v>-0.35050252300000001</v>
      </c>
    </row>
    <row r="1823" spans="1:3" x14ac:dyDescent="0.3">
      <c r="A1823" s="22">
        <v>3.3100000000000001E-6</v>
      </c>
      <c r="B1823" s="22">
        <v>-6.5201005800000005E-4</v>
      </c>
      <c r="C1823" s="22">
        <f t="shared" si="28"/>
        <v>-0.652010058</v>
      </c>
    </row>
    <row r="1824" spans="1:3" x14ac:dyDescent="0.3">
      <c r="A1824" s="22">
        <v>3.315E-6</v>
      </c>
      <c r="B1824" s="22">
        <v>5.1507522999999997E-5</v>
      </c>
      <c r="C1824" s="22">
        <f t="shared" si="28"/>
        <v>5.1507523E-2</v>
      </c>
    </row>
    <row r="1825" spans="1:3" x14ac:dyDescent="0.3">
      <c r="A1825" s="22">
        <v>3.32E-6</v>
      </c>
      <c r="B1825" s="22">
        <v>1.52010034E-4</v>
      </c>
      <c r="C1825" s="22">
        <f t="shared" si="28"/>
        <v>0.15201003400000002</v>
      </c>
    </row>
    <row r="1826" spans="1:3" x14ac:dyDescent="0.3">
      <c r="A1826" s="22">
        <v>3.3249999999999999E-6</v>
      </c>
      <c r="B1826" s="22">
        <v>5.5402008000000002E-4</v>
      </c>
      <c r="C1826" s="22">
        <f t="shared" si="28"/>
        <v>0.55402008000000003</v>
      </c>
    </row>
    <row r="1827" spans="1:3" x14ac:dyDescent="0.3">
      <c r="A1827" s="22">
        <v>3.3299999999999999E-6</v>
      </c>
      <c r="B1827" s="22">
        <v>6.5452259199999996E-4</v>
      </c>
      <c r="C1827" s="22">
        <f t="shared" si="28"/>
        <v>0.65452259199999996</v>
      </c>
    </row>
    <row r="1828" spans="1:3" x14ac:dyDescent="0.3">
      <c r="A1828" s="22">
        <v>3.3349999999999998E-6</v>
      </c>
      <c r="B1828" s="22">
        <v>1.0565326380000001E-3</v>
      </c>
      <c r="C1828" s="22">
        <f t="shared" si="28"/>
        <v>1.056532638</v>
      </c>
    </row>
    <row r="1829" spans="1:3" x14ac:dyDescent="0.3">
      <c r="A1829" s="22">
        <v>3.3400000000000002E-6</v>
      </c>
      <c r="B1829" s="22">
        <v>2.1620602640000002E-3</v>
      </c>
      <c r="C1829" s="22">
        <f t="shared" si="28"/>
        <v>2.1620602640000004</v>
      </c>
    </row>
    <row r="1830" spans="1:3" x14ac:dyDescent="0.3">
      <c r="A1830" s="22">
        <v>3.3450000000000002E-6</v>
      </c>
      <c r="B1830" s="22">
        <v>2.262562775E-3</v>
      </c>
      <c r="C1830" s="22">
        <f t="shared" si="28"/>
        <v>2.2625627750000001</v>
      </c>
    </row>
    <row r="1831" spans="1:3" x14ac:dyDescent="0.3">
      <c r="A1831" s="22">
        <v>3.3500000000000001E-6</v>
      </c>
      <c r="B1831" s="22">
        <v>2.0615577519999999E-3</v>
      </c>
      <c r="C1831" s="22">
        <f t="shared" si="28"/>
        <v>2.0615577520000001</v>
      </c>
    </row>
    <row r="1832" spans="1:3" x14ac:dyDescent="0.3">
      <c r="A1832" s="22">
        <v>3.3550000000000001E-6</v>
      </c>
      <c r="B1832" s="22">
        <v>1.760050218E-3</v>
      </c>
      <c r="C1832" s="22">
        <f t="shared" si="28"/>
        <v>1.7600502179999999</v>
      </c>
    </row>
    <row r="1833" spans="1:3" x14ac:dyDescent="0.3">
      <c r="A1833" s="22">
        <v>3.36E-6</v>
      </c>
      <c r="B1833" s="22">
        <v>1.458542683E-3</v>
      </c>
      <c r="C1833" s="22">
        <f t="shared" si="28"/>
        <v>1.4585426830000001</v>
      </c>
    </row>
    <row r="1834" spans="1:3" x14ac:dyDescent="0.3">
      <c r="A1834" s="22">
        <v>3.365E-6</v>
      </c>
      <c r="B1834" s="22">
        <v>1.358040172E-3</v>
      </c>
      <c r="C1834" s="22">
        <f t="shared" si="28"/>
        <v>1.3580401719999999</v>
      </c>
    </row>
    <row r="1835" spans="1:3" x14ac:dyDescent="0.3">
      <c r="A1835" s="22">
        <v>3.3699999999999999E-6</v>
      </c>
      <c r="B1835" s="22">
        <v>1.52010034E-4</v>
      </c>
      <c r="C1835" s="22">
        <f t="shared" si="28"/>
        <v>0.15201003400000002</v>
      </c>
    </row>
    <row r="1836" spans="1:3" x14ac:dyDescent="0.3">
      <c r="A1836" s="22">
        <v>3.3749999999999999E-6</v>
      </c>
      <c r="B1836" s="22">
        <v>5.1507522999999997E-5</v>
      </c>
      <c r="C1836" s="22">
        <f t="shared" si="28"/>
        <v>5.1507523E-2</v>
      </c>
    </row>
    <row r="1837" spans="1:3" x14ac:dyDescent="0.3">
      <c r="A1837" s="22">
        <v>3.3799999999999998E-6</v>
      </c>
      <c r="B1837" s="22">
        <v>-1.0540201039999999E-3</v>
      </c>
      <c r="C1837" s="22">
        <f t="shared" si="28"/>
        <v>-1.0540201039999999</v>
      </c>
    </row>
    <row r="1838" spans="1:3" x14ac:dyDescent="0.3">
      <c r="A1838" s="22">
        <v>3.3850000000000002E-6</v>
      </c>
      <c r="B1838" s="22">
        <v>-8.5301508100000005E-4</v>
      </c>
      <c r="C1838" s="22">
        <f t="shared" si="28"/>
        <v>-0.85301508100000001</v>
      </c>
    </row>
    <row r="1839" spans="1:3" x14ac:dyDescent="0.3">
      <c r="A1839" s="22">
        <v>3.3900000000000002E-6</v>
      </c>
      <c r="B1839" s="22">
        <v>-1.154522615E-3</v>
      </c>
      <c r="C1839" s="22">
        <f t="shared" si="28"/>
        <v>-1.1545226150000001</v>
      </c>
    </row>
    <row r="1840" spans="1:3" x14ac:dyDescent="0.3">
      <c r="A1840" s="22">
        <v>3.3950000000000001E-6</v>
      </c>
      <c r="B1840" s="22">
        <v>-2.2600502419999999E-3</v>
      </c>
      <c r="C1840" s="22">
        <f t="shared" si="28"/>
        <v>-2.2600502419999997</v>
      </c>
    </row>
    <row r="1841" spans="1:3" x14ac:dyDescent="0.3">
      <c r="A1841" s="22">
        <v>3.4000000000000001E-6</v>
      </c>
      <c r="B1841" s="22">
        <v>-1.7575376840000001E-3</v>
      </c>
      <c r="C1841" s="22">
        <f t="shared" si="28"/>
        <v>-1.7575376840000001</v>
      </c>
    </row>
    <row r="1842" spans="1:3" x14ac:dyDescent="0.3">
      <c r="A1842" s="22">
        <v>3.405E-6</v>
      </c>
      <c r="B1842" s="22">
        <v>-2.6620602880000001E-3</v>
      </c>
      <c r="C1842" s="22">
        <f t="shared" si="28"/>
        <v>-2.6620602880000002</v>
      </c>
    </row>
    <row r="1843" spans="1:3" x14ac:dyDescent="0.3">
      <c r="A1843" s="22">
        <v>3.41E-6</v>
      </c>
      <c r="B1843" s="22">
        <v>-2.3605527530000002E-3</v>
      </c>
      <c r="C1843" s="22">
        <f t="shared" si="28"/>
        <v>-2.3605527530000003</v>
      </c>
    </row>
    <row r="1844" spans="1:3" x14ac:dyDescent="0.3">
      <c r="A1844" s="22">
        <v>3.4149999999999999E-6</v>
      </c>
      <c r="B1844" s="22">
        <v>-3.0640703329999999E-3</v>
      </c>
      <c r="C1844" s="22">
        <f t="shared" si="28"/>
        <v>-3.0640703330000001</v>
      </c>
    </row>
    <row r="1845" spans="1:3" x14ac:dyDescent="0.3">
      <c r="A1845" s="22">
        <v>3.4199999999999999E-6</v>
      </c>
      <c r="B1845" s="22">
        <v>-3.8680904249999998E-3</v>
      </c>
      <c r="C1845" s="22">
        <f t="shared" si="28"/>
        <v>-3.8680904249999997</v>
      </c>
    </row>
    <row r="1846" spans="1:3" x14ac:dyDescent="0.3">
      <c r="A1846" s="22">
        <v>3.4249999999999998E-6</v>
      </c>
      <c r="B1846" s="22">
        <v>-2.6620602880000001E-3</v>
      </c>
      <c r="C1846" s="22">
        <f t="shared" si="28"/>
        <v>-2.6620602880000002</v>
      </c>
    </row>
    <row r="1847" spans="1:3" x14ac:dyDescent="0.3">
      <c r="A1847" s="22">
        <v>3.4300000000000002E-6</v>
      </c>
      <c r="B1847" s="22">
        <v>-3.1645728450000001E-3</v>
      </c>
      <c r="C1847" s="22">
        <f t="shared" si="28"/>
        <v>-3.1645728450000004</v>
      </c>
    </row>
    <row r="1848" spans="1:3" x14ac:dyDescent="0.3">
      <c r="A1848" s="22">
        <v>3.4350000000000001E-6</v>
      </c>
      <c r="B1848" s="22">
        <v>-3.4660803790000001E-3</v>
      </c>
      <c r="C1848" s="22">
        <f t="shared" si="28"/>
        <v>-3.4660803790000001</v>
      </c>
    </row>
    <row r="1849" spans="1:3" x14ac:dyDescent="0.3">
      <c r="A1849" s="22">
        <v>3.4400000000000001E-6</v>
      </c>
      <c r="B1849" s="22">
        <v>-2.963567822E-3</v>
      </c>
      <c r="C1849" s="22">
        <f t="shared" si="28"/>
        <v>-2.9635678219999999</v>
      </c>
    </row>
    <row r="1850" spans="1:3" x14ac:dyDescent="0.3">
      <c r="A1850" s="22">
        <v>3.4450000000000001E-6</v>
      </c>
      <c r="B1850" s="22">
        <v>-3.4660803790000001E-3</v>
      </c>
      <c r="C1850" s="22">
        <f t="shared" si="28"/>
        <v>-3.4660803790000001</v>
      </c>
    </row>
    <row r="1851" spans="1:3" x14ac:dyDescent="0.3">
      <c r="A1851" s="22">
        <v>3.45E-6</v>
      </c>
      <c r="B1851" s="22">
        <v>-3.0640703329999999E-3</v>
      </c>
      <c r="C1851" s="22">
        <f t="shared" si="28"/>
        <v>-3.0640703330000001</v>
      </c>
    </row>
    <row r="1852" spans="1:3" x14ac:dyDescent="0.3">
      <c r="A1852" s="22">
        <v>3.455E-6</v>
      </c>
      <c r="B1852" s="22">
        <v>-2.7625627989999999E-3</v>
      </c>
      <c r="C1852" s="22">
        <f t="shared" si="28"/>
        <v>-2.7625627989999999</v>
      </c>
    </row>
    <row r="1853" spans="1:3" x14ac:dyDescent="0.3">
      <c r="A1853" s="22">
        <v>3.4599999999999999E-6</v>
      </c>
      <c r="B1853" s="22">
        <v>-2.6620602880000001E-3</v>
      </c>
      <c r="C1853" s="22">
        <f t="shared" si="28"/>
        <v>-2.6620602880000002</v>
      </c>
    </row>
    <row r="1854" spans="1:3" x14ac:dyDescent="0.3">
      <c r="A1854" s="22">
        <v>3.4649999999999999E-6</v>
      </c>
      <c r="B1854" s="22">
        <v>-3.1645728450000001E-3</v>
      </c>
      <c r="C1854" s="22">
        <f t="shared" si="28"/>
        <v>-3.1645728450000004</v>
      </c>
    </row>
    <row r="1855" spans="1:3" x14ac:dyDescent="0.3">
      <c r="A1855" s="22">
        <v>3.4699999999999998E-6</v>
      </c>
      <c r="B1855" s="22">
        <v>-1.958542707E-3</v>
      </c>
      <c r="C1855" s="22">
        <f t="shared" si="28"/>
        <v>-1.9585427069999999</v>
      </c>
    </row>
    <row r="1856" spans="1:3" x14ac:dyDescent="0.3">
      <c r="A1856" s="22">
        <v>3.4750000000000002E-6</v>
      </c>
      <c r="B1856" s="22">
        <v>-1.8580401959999999E-3</v>
      </c>
      <c r="C1856" s="22">
        <f t="shared" si="28"/>
        <v>-1.8580401959999999</v>
      </c>
    </row>
    <row r="1857" spans="1:3" x14ac:dyDescent="0.3">
      <c r="A1857" s="22">
        <v>3.4800000000000001E-6</v>
      </c>
      <c r="B1857" s="22">
        <v>-1.7575376840000001E-3</v>
      </c>
      <c r="C1857" s="22">
        <f t="shared" si="28"/>
        <v>-1.7575376840000001</v>
      </c>
    </row>
    <row r="1858" spans="1:3" x14ac:dyDescent="0.3">
      <c r="A1858" s="22">
        <v>3.4850000000000001E-6</v>
      </c>
      <c r="B1858" s="22">
        <v>-1.556532661E-3</v>
      </c>
      <c r="C1858" s="22">
        <f t="shared" si="28"/>
        <v>-1.5565326609999999</v>
      </c>
    </row>
    <row r="1859" spans="1:3" x14ac:dyDescent="0.3">
      <c r="A1859" s="22">
        <v>3.49E-6</v>
      </c>
      <c r="B1859" s="22">
        <v>-3.5050252300000001E-4</v>
      </c>
      <c r="C1859" s="22">
        <f t="shared" si="28"/>
        <v>-0.35050252300000001</v>
      </c>
    </row>
    <row r="1860" spans="1:3" x14ac:dyDescent="0.3">
      <c r="A1860" s="22">
        <v>3.495E-6</v>
      </c>
      <c r="B1860" s="22">
        <v>-2.5000001200000001E-4</v>
      </c>
      <c r="C1860" s="22">
        <f t="shared" ref="C1860:C1923" si="29">B1860*10^3</f>
        <v>-0.25000001199999999</v>
      </c>
    </row>
    <row r="1861" spans="1:3" x14ac:dyDescent="0.3">
      <c r="A1861" s="22">
        <v>3.4999999999999999E-6</v>
      </c>
      <c r="B1861" s="22">
        <v>-1.556532661E-3</v>
      </c>
      <c r="C1861" s="22">
        <f t="shared" si="29"/>
        <v>-1.5565326609999999</v>
      </c>
    </row>
    <row r="1862" spans="1:3" x14ac:dyDescent="0.3">
      <c r="A1862" s="22">
        <v>3.5049999999999999E-6</v>
      </c>
      <c r="B1862" s="22">
        <v>5.5402008000000002E-4</v>
      </c>
      <c r="C1862" s="22">
        <f t="shared" si="29"/>
        <v>0.55402008000000003</v>
      </c>
    </row>
    <row r="1863" spans="1:3" x14ac:dyDescent="0.3">
      <c r="A1863" s="22">
        <v>3.5099999999999999E-6</v>
      </c>
      <c r="B1863" s="22">
        <v>-9.5351759199999999E-4</v>
      </c>
      <c r="C1863" s="22">
        <f t="shared" si="29"/>
        <v>-0.95351759199999997</v>
      </c>
    </row>
    <row r="1864" spans="1:3" x14ac:dyDescent="0.3">
      <c r="A1864" s="22">
        <v>3.5149999999999998E-6</v>
      </c>
      <c r="B1864" s="22">
        <v>4.5351756800000002E-4</v>
      </c>
      <c r="C1864" s="22">
        <f t="shared" si="29"/>
        <v>0.45351756800000004</v>
      </c>
    </row>
    <row r="1865" spans="1:3" x14ac:dyDescent="0.3">
      <c r="A1865" s="22">
        <v>3.5200000000000002E-6</v>
      </c>
      <c r="B1865" s="22">
        <v>-3.5050252300000001E-4</v>
      </c>
      <c r="C1865" s="22">
        <f t="shared" si="29"/>
        <v>-0.35050252300000001</v>
      </c>
    </row>
    <row r="1866" spans="1:3" x14ac:dyDescent="0.3">
      <c r="A1866" s="22">
        <v>3.5250000000000001E-6</v>
      </c>
      <c r="B1866" s="22">
        <v>-1.154522615E-3</v>
      </c>
      <c r="C1866" s="22">
        <f t="shared" si="29"/>
        <v>-1.1545226150000001</v>
      </c>
    </row>
    <row r="1867" spans="1:3" x14ac:dyDescent="0.3">
      <c r="A1867" s="22">
        <v>3.5300000000000001E-6</v>
      </c>
      <c r="B1867" s="22">
        <v>4.5351756800000002E-4</v>
      </c>
      <c r="C1867" s="22">
        <f t="shared" si="29"/>
        <v>0.45351756800000004</v>
      </c>
    </row>
    <row r="1868" spans="1:3" x14ac:dyDescent="0.3">
      <c r="A1868" s="22">
        <v>3.535E-6</v>
      </c>
      <c r="B1868" s="22">
        <v>-1.4949749999999999E-4</v>
      </c>
      <c r="C1868" s="22">
        <f t="shared" si="29"/>
        <v>-0.14949749999999998</v>
      </c>
    </row>
    <row r="1869" spans="1:3" x14ac:dyDescent="0.3">
      <c r="A1869" s="22">
        <v>3.54E-6</v>
      </c>
      <c r="B1869" s="22">
        <v>-6.5201005800000005E-4</v>
      </c>
      <c r="C1869" s="22">
        <f t="shared" si="29"/>
        <v>-0.652010058</v>
      </c>
    </row>
    <row r="1870" spans="1:3" x14ac:dyDescent="0.3">
      <c r="A1870" s="22">
        <v>3.5449999999999999E-6</v>
      </c>
      <c r="B1870" s="22">
        <v>-5.51507546E-4</v>
      </c>
      <c r="C1870" s="22">
        <f t="shared" si="29"/>
        <v>-0.55150754599999996</v>
      </c>
    </row>
    <row r="1871" spans="1:3" x14ac:dyDescent="0.3">
      <c r="A1871" s="22">
        <v>3.5499999999999999E-6</v>
      </c>
      <c r="B1871" s="22">
        <v>-3.5050252300000001E-4</v>
      </c>
      <c r="C1871" s="22">
        <f t="shared" si="29"/>
        <v>-0.35050252300000001</v>
      </c>
    </row>
    <row r="1872" spans="1:3" x14ac:dyDescent="0.3">
      <c r="A1872" s="22">
        <v>3.5549999999999998E-6</v>
      </c>
      <c r="B1872" s="22">
        <v>-7.52512569E-4</v>
      </c>
      <c r="C1872" s="22">
        <f t="shared" si="29"/>
        <v>-0.75251256899999996</v>
      </c>
    </row>
    <row r="1873" spans="1:3" x14ac:dyDescent="0.3">
      <c r="A1873" s="22">
        <v>3.5599999999999998E-6</v>
      </c>
      <c r="B1873" s="22">
        <v>-1.4560301499999999E-3</v>
      </c>
      <c r="C1873" s="22">
        <f t="shared" si="29"/>
        <v>-1.4560301499999999</v>
      </c>
    </row>
    <row r="1874" spans="1:3" x14ac:dyDescent="0.3">
      <c r="A1874" s="22">
        <v>3.5650000000000002E-6</v>
      </c>
      <c r="B1874" s="22">
        <v>-2.2600502419999999E-3</v>
      </c>
      <c r="C1874" s="22">
        <f t="shared" si="29"/>
        <v>-2.2600502419999997</v>
      </c>
    </row>
    <row r="1875" spans="1:3" x14ac:dyDescent="0.3">
      <c r="A1875" s="22">
        <v>3.5700000000000001E-6</v>
      </c>
      <c r="B1875" s="22">
        <v>-3.0640703329999999E-3</v>
      </c>
      <c r="C1875" s="22">
        <f t="shared" si="29"/>
        <v>-3.0640703330000001</v>
      </c>
    </row>
    <row r="1876" spans="1:3" x14ac:dyDescent="0.3">
      <c r="A1876" s="22">
        <v>3.5750000000000001E-6</v>
      </c>
      <c r="B1876" s="22">
        <v>-4.2701004710000001E-3</v>
      </c>
      <c r="C1876" s="22">
        <f t="shared" si="29"/>
        <v>-4.2701004710000001</v>
      </c>
    </row>
    <row r="1877" spans="1:3" x14ac:dyDescent="0.3">
      <c r="A1877" s="22">
        <v>3.58E-6</v>
      </c>
      <c r="B1877" s="22">
        <v>-2.963567822E-3</v>
      </c>
      <c r="C1877" s="22">
        <f t="shared" si="29"/>
        <v>-2.9635678219999999</v>
      </c>
    </row>
    <row r="1878" spans="1:3" x14ac:dyDescent="0.3">
      <c r="A1878" s="22">
        <v>3.585E-6</v>
      </c>
      <c r="B1878" s="22">
        <v>-4.2701004710000001E-3</v>
      </c>
      <c r="C1878" s="22">
        <f t="shared" si="29"/>
        <v>-4.2701004710000001</v>
      </c>
    </row>
    <row r="1879" spans="1:3" x14ac:dyDescent="0.3">
      <c r="A1879" s="22">
        <v>3.5899999999999999E-6</v>
      </c>
      <c r="B1879" s="22">
        <v>-5.0741205629999996E-3</v>
      </c>
      <c r="C1879" s="22">
        <f t="shared" si="29"/>
        <v>-5.0741205629999993</v>
      </c>
    </row>
    <row r="1880" spans="1:3" x14ac:dyDescent="0.3">
      <c r="A1880" s="22">
        <v>3.5949999999999999E-6</v>
      </c>
      <c r="B1880" s="22">
        <v>-3.9685929370000001E-3</v>
      </c>
      <c r="C1880" s="22">
        <f t="shared" si="29"/>
        <v>-3.9685929369999999</v>
      </c>
    </row>
    <row r="1881" spans="1:3" x14ac:dyDescent="0.3">
      <c r="A1881" s="22">
        <v>3.5999999999999998E-6</v>
      </c>
      <c r="B1881" s="22">
        <v>-4.5716080060000004E-3</v>
      </c>
      <c r="C1881" s="22">
        <f t="shared" si="29"/>
        <v>-4.5716080060000008</v>
      </c>
    </row>
    <row r="1882" spans="1:3" x14ac:dyDescent="0.3">
      <c r="A1882" s="22">
        <v>3.6049999999999998E-6</v>
      </c>
      <c r="B1882" s="22">
        <v>-3.8680904249999998E-3</v>
      </c>
      <c r="C1882" s="22">
        <f t="shared" si="29"/>
        <v>-3.8680904249999997</v>
      </c>
    </row>
    <row r="1883" spans="1:3" x14ac:dyDescent="0.3">
      <c r="A1883" s="22">
        <v>3.6100000000000002E-6</v>
      </c>
      <c r="B1883" s="22">
        <v>-3.1645728450000001E-3</v>
      </c>
      <c r="C1883" s="22">
        <f t="shared" si="29"/>
        <v>-3.1645728450000004</v>
      </c>
    </row>
    <row r="1884" spans="1:3" x14ac:dyDescent="0.3">
      <c r="A1884" s="22">
        <v>3.6150000000000001E-6</v>
      </c>
      <c r="B1884" s="22">
        <v>-3.0640703329999999E-3</v>
      </c>
      <c r="C1884" s="22">
        <f t="shared" si="29"/>
        <v>-3.0640703330000001</v>
      </c>
    </row>
    <row r="1885" spans="1:3" x14ac:dyDescent="0.3">
      <c r="A1885" s="22">
        <v>3.6200000000000001E-6</v>
      </c>
      <c r="B1885" s="22">
        <v>-2.3605527530000002E-3</v>
      </c>
      <c r="C1885" s="22">
        <f t="shared" si="29"/>
        <v>-2.3605527530000003</v>
      </c>
    </row>
    <row r="1886" spans="1:3" x14ac:dyDescent="0.3">
      <c r="A1886" s="22">
        <v>3.625E-6</v>
      </c>
      <c r="B1886" s="22">
        <v>-1.4560301499999999E-3</v>
      </c>
      <c r="C1886" s="22">
        <f t="shared" si="29"/>
        <v>-1.4560301499999999</v>
      </c>
    </row>
    <row r="1887" spans="1:3" x14ac:dyDescent="0.3">
      <c r="A1887" s="22">
        <v>3.63E-6</v>
      </c>
      <c r="B1887" s="22">
        <v>-2.7625627989999999E-3</v>
      </c>
      <c r="C1887" s="22">
        <f t="shared" si="29"/>
        <v>-2.7625627989999999</v>
      </c>
    </row>
    <row r="1888" spans="1:3" x14ac:dyDescent="0.3">
      <c r="A1888" s="22">
        <v>3.6349999999999999E-6</v>
      </c>
      <c r="B1888" s="22">
        <v>-1.8580401959999999E-3</v>
      </c>
      <c r="C1888" s="22">
        <f t="shared" si="29"/>
        <v>-1.8580401959999999</v>
      </c>
    </row>
    <row r="1889" spans="1:3" x14ac:dyDescent="0.3">
      <c r="A1889" s="22">
        <v>3.6399999999999999E-6</v>
      </c>
      <c r="B1889" s="22">
        <v>-1.7575376840000001E-3</v>
      </c>
      <c r="C1889" s="22">
        <f t="shared" si="29"/>
        <v>-1.7575376840000001</v>
      </c>
    </row>
    <row r="1890" spans="1:3" x14ac:dyDescent="0.3">
      <c r="A1890" s="22">
        <v>3.6449999999999998E-6</v>
      </c>
      <c r="B1890" s="22">
        <v>-2.2600502419999999E-3</v>
      </c>
      <c r="C1890" s="22">
        <f t="shared" si="29"/>
        <v>-2.2600502419999997</v>
      </c>
    </row>
    <row r="1891" spans="1:3" x14ac:dyDescent="0.3">
      <c r="A1891" s="22">
        <v>3.6500000000000002E-6</v>
      </c>
      <c r="B1891" s="22">
        <v>-2.6620602880000001E-3</v>
      </c>
      <c r="C1891" s="22">
        <f t="shared" si="29"/>
        <v>-2.6620602880000002</v>
      </c>
    </row>
    <row r="1892" spans="1:3" x14ac:dyDescent="0.3">
      <c r="A1892" s="22">
        <v>3.6550000000000002E-6</v>
      </c>
      <c r="B1892" s="22">
        <v>-1.8580401959999999E-3</v>
      </c>
      <c r="C1892" s="22">
        <f t="shared" si="29"/>
        <v>-1.8580401959999999</v>
      </c>
    </row>
    <row r="1893" spans="1:3" x14ac:dyDescent="0.3">
      <c r="A1893" s="22">
        <v>3.6600000000000001E-6</v>
      </c>
      <c r="B1893" s="22">
        <v>-2.2600502419999999E-3</v>
      </c>
      <c r="C1893" s="22">
        <f t="shared" si="29"/>
        <v>-2.2600502419999997</v>
      </c>
    </row>
    <row r="1894" spans="1:3" x14ac:dyDescent="0.3">
      <c r="A1894" s="22">
        <v>3.6650000000000001E-6</v>
      </c>
      <c r="B1894" s="22">
        <v>-1.4560301499999999E-3</v>
      </c>
      <c r="C1894" s="22">
        <f t="shared" si="29"/>
        <v>-1.4560301499999999</v>
      </c>
    </row>
    <row r="1895" spans="1:3" x14ac:dyDescent="0.3">
      <c r="A1895" s="22">
        <v>3.67E-6</v>
      </c>
      <c r="B1895" s="22">
        <v>-9.5351759199999999E-4</v>
      </c>
      <c r="C1895" s="22">
        <f t="shared" si="29"/>
        <v>-0.95351759199999997</v>
      </c>
    </row>
    <row r="1896" spans="1:3" x14ac:dyDescent="0.3">
      <c r="A1896" s="22">
        <v>3.675E-6</v>
      </c>
      <c r="B1896" s="22">
        <v>-1.0540201039999999E-3</v>
      </c>
      <c r="C1896" s="22">
        <f t="shared" si="29"/>
        <v>-1.0540201039999999</v>
      </c>
    </row>
    <row r="1897" spans="1:3" x14ac:dyDescent="0.3">
      <c r="A1897" s="22">
        <v>3.6799999999999999E-6</v>
      </c>
      <c r="B1897" s="22">
        <v>-2.5000001200000001E-4</v>
      </c>
      <c r="C1897" s="22">
        <f t="shared" si="29"/>
        <v>-0.25000001199999999</v>
      </c>
    </row>
    <row r="1898" spans="1:3" x14ac:dyDescent="0.3">
      <c r="A1898" s="22">
        <v>3.6849999999999999E-6</v>
      </c>
      <c r="B1898" s="22">
        <v>1.0565326380000001E-3</v>
      </c>
      <c r="C1898" s="22">
        <f t="shared" si="29"/>
        <v>1.056532638</v>
      </c>
    </row>
    <row r="1899" spans="1:3" x14ac:dyDescent="0.3">
      <c r="A1899" s="22">
        <v>3.6899999999999998E-6</v>
      </c>
      <c r="B1899" s="22">
        <v>1.358040172E-3</v>
      </c>
      <c r="C1899" s="22">
        <f t="shared" si="29"/>
        <v>1.3580401719999999</v>
      </c>
    </row>
    <row r="1900" spans="1:3" x14ac:dyDescent="0.3">
      <c r="A1900" s="22">
        <v>3.6950000000000002E-6</v>
      </c>
      <c r="B1900" s="22">
        <v>1.358040172E-3</v>
      </c>
      <c r="C1900" s="22">
        <f t="shared" si="29"/>
        <v>1.3580401719999999</v>
      </c>
    </row>
    <row r="1901" spans="1:3" x14ac:dyDescent="0.3">
      <c r="A1901" s="22">
        <v>3.7000000000000002E-6</v>
      </c>
      <c r="B1901" s="22">
        <v>1.760050218E-3</v>
      </c>
      <c r="C1901" s="22">
        <f t="shared" si="29"/>
        <v>1.7600502179999999</v>
      </c>
    </row>
    <row r="1902" spans="1:3" x14ac:dyDescent="0.3">
      <c r="A1902" s="22">
        <v>3.7050000000000001E-6</v>
      </c>
      <c r="B1902" s="22">
        <v>1.358040172E-3</v>
      </c>
      <c r="C1902" s="22">
        <f t="shared" si="29"/>
        <v>1.3580401719999999</v>
      </c>
    </row>
    <row r="1903" spans="1:3" x14ac:dyDescent="0.3">
      <c r="A1903" s="22">
        <v>3.7100000000000001E-6</v>
      </c>
      <c r="B1903" s="22">
        <v>1.760050218E-3</v>
      </c>
      <c r="C1903" s="22">
        <f t="shared" si="29"/>
        <v>1.7600502179999999</v>
      </c>
    </row>
    <row r="1904" spans="1:3" x14ac:dyDescent="0.3">
      <c r="A1904" s="22">
        <v>3.715E-6</v>
      </c>
      <c r="B1904" s="22">
        <v>9.56030126E-4</v>
      </c>
      <c r="C1904" s="22">
        <f t="shared" si="29"/>
        <v>0.95603012600000004</v>
      </c>
    </row>
    <row r="1905" spans="1:3" x14ac:dyDescent="0.3">
      <c r="A1905" s="22">
        <v>3.72E-6</v>
      </c>
      <c r="B1905" s="22">
        <v>9.56030126E-4</v>
      </c>
      <c r="C1905" s="22">
        <f t="shared" si="29"/>
        <v>0.95603012600000004</v>
      </c>
    </row>
    <row r="1906" spans="1:3" x14ac:dyDescent="0.3">
      <c r="A1906" s="22">
        <v>3.7249999999999999E-6</v>
      </c>
      <c r="B1906" s="22">
        <v>9.56030126E-4</v>
      </c>
      <c r="C1906" s="22">
        <f t="shared" si="29"/>
        <v>0.95603012600000004</v>
      </c>
    </row>
    <row r="1907" spans="1:3" x14ac:dyDescent="0.3">
      <c r="A1907" s="22">
        <v>3.7299999999999999E-6</v>
      </c>
      <c r="B1907" s="22">
        <v>5.5402008000000002E-4</v>
      </c>
      <c r="C1907" s="22">
        <f t="shared" si="29"/>
        <v>0.55402008000000003</v>
      </c>
    </row>
    <row r="1908" spans="1:3" x14ac:dyDescent="0.3">
      <c r="A1908" s="22">
        <v>3.7349999999999998E-6</v>
      </c>
      <c r="B1908" s="22">
        <v>-6.5201005800000005E-4</v>
      </c>
      <c r="C1908" s="22">
        <f t="shared" si="29"/>
        <v>-0.652010058</v>
      </c>
    </row>
    <row r="1909" spans="1:3" x14ac:dyDescent="0.3">
      <c r="A1909" s="22">
        <v>3.7400000000000002E-6</v>
      </c>
      <c r="B1909" s="22">
        <v>-3.5050252300000001E-4</v>
      </c>
      <c r="C1909" s="22">
        <f t="shared" si="29"/>
        <v>-0.35050252300000001</v>
      </c>
    </row>
    <row r="1910" spans="1:3" x14ac:dyDescent="0.3">
      <c r="A1910" s="22">
        <v>3.7450000000000001E-6</v>
      </c>
      <c r="B1910" s="22">
        <v>-6.5201005800000005E-4</v>
      </c>
      <c r="C1910" s="22">
        <f t="shared" si="29"/>
        <v>-0.652010058</v>
      </c>
    </row>
    <row r="1911" spans="1:3" x14ac:dyDescent="0.3">
      <c r="A1911" s="22">
        <v>3.7500000000000001E-6</v>
      </c>
      <c r="B1911" s="22">
        <v>-1.154522615E-3</v>
      </c>
      <c r="C1911" s="22">
        <f t="shared" si="29"/>
        <v>-1.1545226150000001</v>
      </c>
    </row>
    <row r="1912" spans="1:3" x14ac:dyDescent="0.3">
      <c r="A1912" s="22">
        <v>3.755E-6</v>
      </c>
      <c r="B1912" s="22">
        <v>-9.5351759199999999E-4</v>
      </c>
      <c r="C1912" s="22">
        <f t="shared" si="29"/>
        <v>-0.95351759199999997</v>
      </c>
    </row>
    <row r="1913" spans="1:3" x14ac:dyDescent="0.3">
      <c r="A1913" s="22">
        <v>3.76E-6</v>
      </c>
      <c r="B1913" s="22">
        <v>-2.5000001200000001E-4</v>
      </c>
      <c r="C1913" s="22">
        <f t="shared" si="29"/>
        <v>-0.25000001199999999</v>
      </c>
    </row>
    <row r="1914" spans="1:3" x14ac:dyDescent="0.3">
      <c r="A1914" s="22">
        <v>3.765E-6</v>
      </c>
      <c r="B1914" s="22">
        <v>-1.0540201039999999E-3</v>
      </c>
      <c r="C1914" s="22">
        <f t="shared" si="29"/>
        <v>-1.0540201039999999</v>
      </c>
    </row>
    <row r="1915" spans="1:3" x14ac:dyDescent="0.3">
      <c r="A1915" s="22">
        <v>3.7699999999999999E-6</v>
      </c>
      <c r="B1915" s="22">
        <v>-1.7575376840000001E-3</v>
      </c>
      <c r="C1915" s="22">
        <f t="shared" si="29"/>
        <v>-1.7575376840000001</v>
      </c>
    </row>
    <row r="1916" spans="1:3" x14ac:dyDescent="0.3">
      <c r="A1916" s="22">
        <v>3.7749999999999999E-6</v>
      </c>
      <c r="B1916" s="22">
        <v>-1.556532661E-3</v>
      </c>
      <c r="C1916" s="22">
        <f t="shared" si="29"/>
        <v>-1.5565326609999999</v>
      </c>
    </row>
    <row r="1917" spans="1:3" x14ac:dyDescent="0.3">
      <c r="A1917" s="22">
        <v>3.7799999999999998E-6</v>
      </c>
      <c r="B1917" s="22">
        <v>-1.958542707E-3</v>
      </c>
      <c r="C1917" s="22">
        <f t="shared" si="29"/>
        <v>-1.9585427069999999</v>
      </c>
    </row>
    <row r="1918" spans="1:3" x14ac:dyDescent="0.3">
      <c r="A1918" s="22">
        <v>3.7850000000000002E-6</v>
      </c>
      <c r="B1918" s="22">
        <v>-2.1595477300000001E-3</v>
      </c>
      <c r="C1918" s="22">
        <f t="shared" si="29"/>
        <v>-2.1595477299999999</v>
      </c>
    </row>
    <row r="1919" spans="1:3" x14ac:dyDescent="0.3">
      <c r="A1919" s="22">
        <v>3.7900000000000001E-6</v>
      </c>
      <c r="B1919" s="22">
        <v>-3.0640703329999999E-3</v>
      </c>
      <c r="C1919" s="22">
        <f t="shared" si="29"/>
        <v>-3.0640703330000001</v>
      </c>
    </row>
    <row r="1920" spans="1:3" x14ac:dyDescent="0.3">
      <c r="A1920" s="22">
        <v>3.7950000000000001E-6</v>
      </c>
      <c r="B1920" s="22">
        <v>-3.767587914E-3</v>
      </c>
      <c r="C1920" s="22">
        <f t="shared" si="29"/>
        <v>-3.7675879139999999</v>
      </c>
    </row>
    <row r="1921" spans="1:3" x14ac:dyDescent="0.3">
      <c r="A1921" s="22">
        <v>3.8E-6</v>
      </c>
      <c r="B1921" s="22">
        <v>-2.963567822E-3</v>
      </c>
      <c r="C1921" s="22">
        <f t="shared" si="29"/>
        <v>-2.9635678219999999</v>
      </c>
    </row>
    <row r="1922" spans="1:3" x14ac:dyDescent="0.3">
      <c r="A1922" s="22">
        <v>3.805E-6</v>
      </c>
      <c r="B1922" s="22">
        <v>-3.5665828909999999E-3</v>
      </c>
      <c r="C1922" s="22">
        <f t="shared" si="29"/>
        <v>-3.5665828909999999</v>
      </c>
    </row>
    <row r="1923" spans="1:3" x14ac:dyDescent="0.3">
      <c r="A1923" s="22">
        <v>3.8099999999999999E-6</v>
      </c>
      <c r="B1923" s="22">
        <v>-4.9736180519999998E-3</v>
      </c>
      <c r="C1923" s="22">
        <f t="shared" si="29"/>
        <v>-4.973618052</v>
      </c>
    </row>
    <row r="1924" spans="1:3" x14ac:dyDescent="0.3">
      <c r="A1924" s="22">
        <v>3.8149999999999999E-6</v>
      </c>
      <c r="B1924" s="22">
        <v>-4.2701004710000001E-3</v>
      </c>
      <c r="C1924" s="22">
        <f t="shared" ref="C1924:C1987" si="30">B1924*10^3</f>
        <v>-4.2701004710000001</v>
      </c>
    </row>
    <row r="1925" spans="1:3" x14ac:dyDescent="0.3">
      <c r="A1925" s="22">
        <v>3.8199999999999998E-6</v>
      </c>
      <c r="B1925" s="22">
        <v>-3.4660803790000001E-3</v>
      </c>
      <c r="C1925" s="22">
        <f t="shared" si="30"/>
        <v>-3.4660803790000001</v>
      </c>
    </row>
    <row r="1926" spans="1:3" x14ac:dyDescent="0.3">
      <c r="A1926" s="22">
        <v>3.8249999999999998E-6</v>
      </c>
      <c r="B1926" s="22">
        <v>-4.2701004710000001E-3</v>
      </c>
      <c r="C1926" s="22">
        <f t="shared" si="30"/>
        <v>-4.2701004710000001</v>
      </c>
    </row>
    <row r="1927" spans="1:3" x14ac:dyDescent="0.3">
      <c r="A1927" s="22">
        <v>3.8299999999999998E-6</v>
      </c>
      <c r="B1927" s="22">
        <v>-2.6620602880000001E-3</v>
      </c>
      <c r="C1927" s="22">
        <f t="shared" si="30"/>
        <v>-2.6620602880000002</v>
      </c>
    </row>
    <row r="1928" spans="1:3" x14ac:dyDescent="0.3">
      <c r="A1928" s="22">
        <v>3.8349999999999997E-6</v>
      </c>
      <c r="B1928" s="22">
        <v>-1.958542707E-3</v>
      </c>
      <c r="C1928" s="22">
        <f t="shared" si="30"/>
        <v>-1.9585427069999999</v>
      </c>
    </row>
    <row r="1929" spans="1:3" x14ac:dyDescent="0.3">
      <c r="A1929" s="22">
        <v>3.8399999999999997E-6</v>
      </c>
      <c r="B1929" s="22">
        <v>-2.963567822E-3</v>
      </c>
      <c r="C1929" s="22">
        <f t="shared" si="30"/>
        <v>-2.9635678219999999</v>
      </c>
    </row>
    <row r="1930" spans="1:3" x14ac:dyDescent="0.3">
      <c r="A1930" s="22">
        <v>3.8449999999999996E-6</v>
      </c>
      <c r="B1930" s="22">
        <v>-2.2600502419999999E-3</v>
      </c>
      <c r="C1930" s="22">
        <f t="shared" si="30"/>
        <v>-2.2600502419999997</v>
      </c>
    </row>
    <row r="1931" spans="1:3" x14ac:dyDescent="0.3">
      <c r="A1931" s="22">
        <v>3.8500000000000004E-6</v>
      </c>
      <c r="B1931" s="22">
        <v>-2.7625627989999999E-3</v>
      </c>
      <c r="C1931" s="22">
        <f t="shared" si="30"/>
        <v>-2.7625627989999999</v>
      </c>
    </row>
    <row r="1932" spans="1:3" x14ac:dyDescent="0.3">
      <c r="A1932" s="22">
        <v>3.8550000000000004E-6</v>
      </c>
      <c r="B1932" s="22">
        <v>-1.8580401959999999E-3</v>
      </c>
      <c r="C1932" s="22">
        <f t="shared" si="30"/>
        <v>-1.8580401959999999</v>
      </c>
    </row>
    <row r="1933" spans="1:3" x14ac:dyDescent="0.3">
      <c r="A1933" s="22">
        <v>3.8600000000000003E-6</v>
      </c>
      <c r="B1933" s="22">
        <v>-2.2600502419999999E-3</v>
      </c>
      <c r="C1933" s="22">
        <f t="shared" si="30"/>
        <v>-2.2600502419999997</v>
      </c>
    </row>
    <row r="1934" spans="1:3" x14ac:dyDescent="0.3">
      <c r="A1934" s="22">
        <v>3.8650000000000003E-6</v>
      </c>
      <c r="B1934" s="22">
        <v>-3.1645728450000001E-3</v>
      </c>
      <c r="C1934" s="22">
        <f t="shared" si="30"/>
        <v>-3.1645728450000004</v>
      </c>
    </row>
    <row r="1935" spans="1:3" x14ac:dyDescent="0.3">
      <c r="A1935" s="22">
        <v>3.8700000000000002E-6</v>
      </c>
      <c r="B1935" s="22">
        <v>-1.958542707E-3</v>
      </c>
      <c r="C1935" s="22">
        <f t="shared" si="30"/>
        <v>-1.9585427069999999</v>
      </c>
    </row>
    <row r="1936" spans="1:3" x14ac:dyDescent="0.3">
      <c r="A1936" s="22">
        <v>3.8750000000000002E-6</v>
      </c>
      <c r="B1936" s="22">
        <v>-1.3555276380000001E-3</v>
      </c>
      <c r="C1936" s="22">
        <f t="shared" si="30"/>
        <v>-1.3555276380000001</v>
      </c>
    </row>
    <row r="1937" spans="1:3" x14ac:dyDescent="0.3">
      <c r="A1937" s="22">
        <v>3.8800000000000001E-6</v>
      </c>
      <c r="B1937" s="22">
        <v>-1.7575376840000001E-3</v>
      </c>
      <c r="C1937" s="22">
        <f t="shared" si="30"/>
        <v>-1.7575376840000001</v>
      </c>
    </row>
    <row r="1938" spans="1:3" x14ac:dyDescent="0.3">
      <c r="A1938" s="22">
        <v>3.8850000000000001E-6</v>
      </c>
      <c r="B1938" s="22">
        <v>-1.556532661E-3</v>
      </c>
      <c r="C1938" s="22">
        <f t="shared" si="30"/>
        <v>-1.5565326609999999</v>
      </c>
    </row>
    <row r="1939" spans="1:3" x14ac:dyDescent="0.3">
      <c r="A1939" s="22">
        <v>3.89E-6</v>
      </c>
      <c r="B1939" s="22">
        <v>-6.5201005800000005E-4</v>
      </c>
      <c r="C1939" s="22">
        <f t="shared" si="30"/>
        <v>-0.652010058</v>
      </c>
    </row>
    <row r="1940" spans="1:3" x14ac:dyDescent="0.3">
      <c r="A1940" s="22">
        <v>3.895E-6</v>
      </c>
      <c r="B1940" s="22">
        <v>-2.5000001200000001E-4</v>
      </c>
      <c r="C1940" s="22">
        <f t="shared" si="30"/>
        <v>-0.25000001199999999</v>
      </c>
    </row>
    <row r="1941" spans="1:3" x14ac:dyDescent="0.3">
      <c r="A1941" s="22">
        <v>3.8999999999999999E-6</v>
      </c>
      <c r="B1941" s="22">
        <v>-7.52512569E-4</v>
      </c>
      <c r="C1941" s="22">
        <f t="shared" si="30"/>
        <v>-0.75251256899999996</v>
      </c>
    </row>
    <row r="1942" spans="1:3" x14ac:dyDescent="0.3">
      <c r="A1942" s="22">
        <v>3.9049999999999999E-6</v>
      </c>
      <c r="B1942" s="22">
        <v>-6.5201005800000005E-4</v>
      </c>
      <c r="C1942" s="22">
        <f t="shared" si="30"/>
        <v>-0.652010058</v>
      </c>
    </row>
    <row r="1943" spans="1:3" x14ac:dyDescent="0.3">
      <c r="A1943" s="22">
        <v>3.9099999999999998E-6</v>
      </c>
      <c r="B1943" s="22">
        <v>4.5351756800000002E-4</v>
      </c>
      <c r="C1943" s="22">
        <f t="shared" si="30"/>
        <v>0.45351756800000004</v>
      </c>
    </row>
    <row r="1944" spans="1:3" x14ac:dyDescent="0.3">
      <c r="A1944" s="22">
        <v>3.9149999999999998E-6</v>
      </c>
      <c r="B1944" s="22">
        <v>2.5251254600000002E-4</v>
      </c>
      <c r="C1944" s="22">
        <f t="shared" si="30"/>
        <v>0.252512546</v>
      </c>
    </row>
    <row r="1945" spans="1:3" x14ac:dyDescent="0.3">
      <c r="A1945" s="22">
        <v>3.9199999999999997E-6</v>
      </c>
      <c r="B1945" s="22">
        <v>-2.5000001200000001E-4</v>
      </c>
      <c r="C1945" s="22">
        <f t="shared" si="30"/>
        <v>-0.25000001199999999</v>
      </c>
    </row>
    <row r="1946" spans="1:3" x14ac:dyDescent="0.3">
      <c r="A1946" s="22">
        <v>3.9249999999999997E-6</v>
      </c>
      <c r="B1946" s="22">
        <v>-5.51507546E-4</v>
      </c>
      <c r="C1946" s="22">
        <f t="shared" si="30"/>
        <v>-0.55150754599999996</v>
      </c>
    </row>
    <row r="1947" spans="1:3" x14ac:dyDescent="0.3">
      <c r="A1947" s="22">
        <v>3.9299999999999996E-6</v>
      </c>
      <c r="B1947" s="22">
        <v>1.52010034E-4</v>
      </c>
      <c r="C1947" s="22">
        <f t="shared" si="30"/>
        <v>0.15201003400000002</v>
      </c>
    </row>
    <row r="1948" spans="1:3" x14ac:dyDescent="0.3">
      <c r="A1948" s="22">
        <v>3.9349999999999996E-6</v>
      </c>
      <c r="B1948" s="22">
        <v>5.1507522999999997E-5</v>
      </c>
      <c r="C1948" s="22">
        <f t="shared" si="30"/>
        <v>5.1507523E-2</v>
      </c>
    </row>
    <row r="1949" spans="1:3" x14ac:dyDescent="0.3">
      <c r="A1949" s="22">
        <v>3.9400000000000004E-6</v>
      </c>
      <c r="B1949" s="22">
        <v>-9.5351759199999999E-4</v>
      </c>
      <c r="C1949" s="22">
        <f t="shared" si="30"/>
        <v>-0.95351759199999997</v>
      </c>
    </row>
    <row r="1950" spans="1:3" x14ac:dyDescent="0.3">
      <c r="A1950" s="22">
        <v>3.9450000000000003E-6</v>
      </c>
      <c r="B1950" s="22">
        <v>5.1507522999999997E-5</v>
      </c>
      <c r="C1950" s="22">
        <f t="shared" si="30"/>
        <v>5.1507523E-2</v>
      </c>
    </row>
    <row r="1951" spans="1:3" x14ac:dyDescent="0.3">
      <c r="A1951" s="22">
        <v>3.9500000000000003E-6</v>
      </c>
      <c r="B1951" s="22">
        <v>-2.5000001200000001E-4</v>
      </c>
      <c r="C1951" s="22">
        <f t="shared" si="30"/>
        <v>-0.25000001199999999</v>
      </c>
    </row>
    <row r="1952" spans="1:3" x14ac:dyDescent="0.3">
      <c r="A1952" s="22">
        <v>3.9550000000000002E-6</v>
      </c>
      <c r="B1952" s="22">
        <v>5.1507522999999997E-5</v>
      </c>
      <c r="C1952" s="22">
        <f t="shared" si="30"/>
        <v>5.1507523E-2</v>
      </c>
    </row>
    <row r="1953" spans="1:3" x14ac:dyDescent="0.3">
      <c r="A1953" s="22">
        <v>3.9600000000000002E-6</v>
      </c>
      <c r="B1953" s="22">
        <v>5.1507522999999997E-5</v>
      </c>
      <c r="C1953" s="22">
        <f t="shared" si="30"/>
        <v>5.1507523E-2</v>
      </c>
    </row>
    <row r="1954" spans="1:3" x14ac:dyDescent="0.3">
      <c r="A1954" s="22">
        <v>3.9650000000000002E-6</v>
      </c>
      <c r="B1954" s="22">
        <v>-7.52512569E-4</v>
      </c>
      <c r="C1954" s="22">
        <f t="shared" si="30"/>
        <v>-0.75251256899999996</v>
      </c>
    </row>
    <row r="1955" spans="1:3" x14ac:dyDescent="0.3">
      <c r="A1955" s="22">
        <v>3.9700000000000001E-6</v>
      </c>
      <c r="B1955" s="22">
        <v>-2.5000001200000001E-4</v>
      </c>
      <c r="C1955" s="22">
        <f t="shared" si="30"/>
        <v>-0.25000001199999999</v>
      </c>
    </row>
    <row r="1956" spans="1:3" x14ac:dyDescent="0.3">
      <c r="A1956" s="22">
        <v>3.9750000000000001E-6</v>
      </c>
      <c r="B1956" s="22">
        <v>5.5402008000000002E-4</v>
      </c>
      <c r="C1956" s="22">
        <f t="shared" si="30"/>
        <v>0.55402008000000003</v>
      </c>
    </row>
    <row r="1957" spans="1:3" x14ac:dyDescent="0.3">
      <c r="A1957" s="22">
        <v>3.98E-6</v>
      </c>
      <c r="B1957" s="22">
        <v>-1.4560301499999999E-3</v>
      </c>
      <c r="C1957" s="22">
        <f t="shared" si="30"/>
        <v>-1.4560301499999999</v>
      </c>
    </row>
    <row r="1958" spans="1:3" x14ac:dyDescent="0.3">
      <c r="A1958" s="22">
        <v>3.985E-6</v>
      </c>
      <c r="B1958" s="22">
        <v>-1.0540201039999999E-3</v>
      </c>
      <c r="C1958" s="22">
        <f t="shared" si="30"/>
        <v>-1.0540201039999999</v>
      </c>
    </row>
    <row r="1959" spans="1:3" x14ac:dyDescent="0.3">
      <c r="A1959" s="22">
        <v>3.9899999999999999E-6</v>
      </c>
      <c r="B1959" s="22">
        <v>-2.5000001200000001E-4</v>
      </c>
      <c r="C1959" s="22">
        <f t="shared" si="30"/>
        <v>-0.25000001199999999</v>
      </c>
    </row>
    <row r="1960" spans="1:3" x14ac:dyDescent="0.3">
      <c r="A1960" s="22">
        <v>3.9949999999999999E-6</v>
      </c>
      <c r="B1960" s="22">
        <v>-5.51507546E-4</v>
      </c>
      <c r="C1960" s="22">
        <f t="shared" si="30"/>
        <v>-0.55150754599999996</v>
      </c>
    </row>
    <row r="1961" spans="1:3" x14ac:dyDescent="0.3">
      <c r="A1961" s="22">
        <v>3.9999999999999998E-6</v>
      </c>
      <c r="B1961" s="22">
        <v>-9.5351759199999999E-4</v>
      </c>
      <c r="C1961" s="22">
        <f t="shared" si="30"/>
        <v>-0.95351759199999997</v>
      </c>
    </row>
    <row r="1962" spans="1:3" x14ac:dyDescent="0.3">
      <c r="A1962" s="22">
        <v>4.0049999999999998E-6</v>
      </c>
      <c r="B1962" s="22">
        <v>-1.0540201039999999E-3</v>
      </c>
      <c r="C1962" s="22">
        <f t="shared" si="30"/>
        <v>-1.0540201039999999</v>
      </c>
    </row>
    <row r="1963" spans="1:3" x14ac:dyDescent="0.3">
      <c r="A1963" s="22">
        <v>4.0099999999999997E-6</v>
      </c>
      <c r="B1963" s="22">
        <v>-1.0540201039999999E-3</v>
      </c>
      <c r="C1963" s="22">
        <f t="shared" si="30"/>
        <v>-1.0540201039999999</v>
      </c>
    </row>
    <row r="1964" spans="1:3" x14ac:dyDescent="0.3">
      <c r="A1964" s="22">
        <v>4.0149999999999997E-6</v>
      </c>
      <c r="B1964" s="22">
        <v>-2.2600502419999999E-3</v>
      </c>
      <c r="C1964" s="22">
        <f t="shared" si="30"/>
        <v>-2.2600502419999997</v>
      </c>
    </row>
    <row r="1965" spans="1:3" x14ac:dyDescent="0.3">
      <c r="A1965" s="22">
        <v>4.0199999999999996E-6</v>
      </c>
      <c r="B1965" s="22">
        <v>-1.958542707E-3</v>
      </c>
      <c r="C1965" s="22">
        <f t="shared" si="30"/>
        <v>-1.9585427069999999</v>
      </c>
    </row>
    <row r="1966" spans="1:3" x14ac:dyDescent="0.3">
      <c r="A1966" s="22">
        <v>4.0249999999999996E-6</v>
      </c>
      <c r="B1966" s="22">
        <v>-1.4560301499999999E-3</v>
      </c>
      <c r="C1966" s="22">
        <f t="shared" si="30"/>
        <v>-1.4560301499999999</v>
      </c>
    </row>
    <row r="1967" spans="1:3" x14ac:dyDescent="0.3">
      <c r="A1967" s="22">
        <v>4.0300000000000004E-6</v>
      </c>
      <c r="B1967" s="22">
        <v>-2.1595477300000001E-3</v>
      </c>
      <c r="C1967" s="22">
        <f t="shared" si="30"/>
        <v>-2.1595477299999999</v>
      </c>
    </row>
    <row r="1968" spans="1:3" x14ac:dyDescent="0.3">
      <c r="A1968" s="22">
        <v>4.0350000000000003E-6</v>
      </c>
      <c r="B1968" s="22">
        <v>-2.6620602880000001E-3</v>
      </c>
      <c r="C1968" s="22">
        <f t="shared" si="30"/>
        <v>-2.6620602880000002</v>
      </c>
    </row>
    <row r="1969" spans="1:3" x14ac:dyDescent="0.3">
      <c r="A1969" s="22">
        <v>4.0400000000000003E-6</v>
      </c>
      <c r="B1969" s="22">
        <v>-2.3605527530000002E-3</v>
      </c>
      <c r="C1969" s="22">
        <f t="shared" si="30"/>
        <v>-2.3605527530000003</v>
      </c>
    </row>
    <row r="1970" spans="1:3" x14ac:dyDescent="0.3">
      <c r="A1970" s="22">
        <v>4.0450000000000002E-6</v>
      </c>
      <c r="B1970" s="22">
        <v>-2.7625627989999999E-3</v>
      </c>
      <c r="C1970" s="22">
        <f t="shared" si="30"/>
        <v>-2.7625627989999999</v>
      </c>
    </row>
    <row r="1971" spans="1:3" x14ac:dyDescent="0.3">
      <c r="A1971" s="22">
        <v>4.0500000000000002E-6</v>
      </c>
      <c r="B1971" s="22">
        <v>-3.0640703329999999E-3</v>
      </c>
      <c r="C1971" s="22">
        <f t="shared" si="30"/>
        <v>-3.0640703330000001</v>
      </c>
    </row>
    <row r="1972" spans="1:3" x14ac:dyDescent="0.3">
      <c r="A1972" s="22">
        <v>4.0550000000000001E-6</v>
      </c>
      <c r="B1972" s="22">
        <v>-2.6620602880000001E-3</v>
      </c>
      <c r="C1972" s="22">
        <f t="shared" si="30"/>
        <v>-2.6620602880000002</v>
      </c>
    </row>
    <row r="1973" spans="1:3" x14ac:dyDescent="0.3">
      <c r="A1973" s="22">
        <v>4.0600000000000001E-6</v>
      </c>
      <c r="B1973" s="22">
        <v>-3.4660803790000001E-3</v>
      </c>
      <c r="C1973" s="22">
        <f t="shared" si="30"/>
        <v>-3.4660803790000001</v>
      </c>
    </row>
    <row r="1974" spans="1:3" x14ac:dyDescent="0.3">
      <c r="A1974" s="22">
        <v>4.065E-6</v>
      </c>
      <c r="B1974" s="22">
        <v>-1.7575376840000001E-3</v>
      </c>
      <c r="C1974" s="22">
        <f t="shared" si="30"/>
        <v>-1.7575376840000001</v>
      </c>
    </row>
    <row r="1975" spans="1:3" x14ac:dyDescent="0.3">
      <c r="A1975" s="22">
        <v>4.07E-6</v>
      </c>
      <c r="B1975" s="22">
        <v>-1.8580401959999999E-3</v>
      </c>
      <c r="C1975" s="22">
        <f t="shared" si="30"/>
        <v>-1.8580401959999999</v>
      </c>
    </row>
    <row r="1976" spans="1:3" x14ac:dyDescent="0.3">
      <c r="A1976" s="22">
        <v>4.0749999999999999E-6</v>
      </c>
      <c r="B1976" s="22">
        <v>-2.2600502419999999E-3</v>
      </c>
      <c r="C1976" s="22">
        <f t="shared" si="30"/>
        <v>-2.2600502419999997</v>
      </c>
    </row>
    <row r="1977" spans="1:3" x14ac:dyDescent="0.3">
      <c r="A1977" s="22">
        <v>4.0799999999999999E-6</v>
      </c>
      <c r="B1977" s="22">
        <v>-1.8580401959999999E-3</v>
      </c>
      <c r="C1977" s="22">
        <f t="shared" si="30"/>
        <v>-1.8580401959999999</v>
      </c>
    </row>
    <row r="1978" spans="1:3" x14ac:dyDescent="0.3">
      <c r="A1978" s="22">
        <v>4.0849999999999999E-6</v>
      </c>
      <c r="B1978" s="22">
        <v>-1.4560301499999999E-3</v>
      </c>
      <c r="C1978" s="22">
        <f t="shared" si="30"/>
        <v>-1.4560301499999999</v>
      </c>
    </row>
    <row r="1979" spans="1:3" x14ac:dyDescent="0.3">
      <c r="A1979" s="22">
        <v>4.0899999999999998E-6</v>
      </c>
      <c r="B1979" s="22">
        <v>-7.52512569E-4</v>
      </c>
      <c r="C1979" s="22">
        <f t="shared" si="30"/>
        <v>-0.75251256899999996</v>
      </c>
    </row>
    <row r="1980" spans="1:3" x14ac:dyDescent="0.3">
      <c r="A1980" s="22">
        <v>4.0949999999999998E-6</v>
      </c>
      <c r="B1980" s="22">
        <v>-1.0540201039999999E-3</v>
      </c>
      <c r="C1980" s="22">
        <f t="shared" si="30"/>
        <v>-1.0540201039999999</v>
      </c>
    </row>
    <row r="1981" spans="1:3" x14ac:dyDescent="0.3">
      <c r="A1981" s="22">
        <v>4.0999999999999997E-6</v>
      </c>
      <c r="B1981" s="22">
        <v>4.5351756800000002E-4</v>
      </c>
      <c r="C1981" s="22">
        <f t="shared" si="30"/>
        <v>0.45351756800000004</v>
      </c>
    </row>
    <row r="1982" spans="1:3" x14ac:dyDescent="0.3">
      <c r="A1982" s="22">
        <v>4.1049999999999997E-6</v>
      </c>
      <c r="B1982" s="22">
        <v>9.56030126E-4</v>
      </c>
      <c r="C1982" s="22">
        <f t="shared" si="30"/>
        <v>0.95603012600000004</v>
      </c>
    </row>
    <row r="1983" spans="1:3" x14ac:dyDescent="0.3">
      <c r="A1983" s="22">
        <v>4.1099999999999996E-6</v>
      </c>
      <c r="B1983" s="22">
        <v>9.56030126E-4</v>
      </c>
      <c r="C1983" s="22">
        <f t="shared" si="30"/>
        <v>0.95603012600000004</v>
      </c>
    </row>
    <row r="1984" spans="1:3" x14ac:dyDescent="0.3">
      <c r="A1984" s="22">
        <v>4.1150000000000004E-6</v>
      </c>
      <c r="B1984" s="22">
        <v>9.56030126E-4</v>
      </c>
      <c r="C1984" s="22">
        <f t="shared" si="30"/>
        <v>0.95603012600000004</v>
      </c>
    </row>
    <row r="1985" spans="1:3" x14ac:dyDescent="0.3">
      <c r="A1985" s="22">
        <v>4.1200000000000004E-6</v>
      </c>
      <c r="B1985" s="22">
        <v>1.52010034E-4</v>
      </c>
      <c r="C1985" s="22">
        <f t="shared" si="30"/>
        <v>0.15201003400000002</v>
      </c>
    </row>
    <row r="1986" spans="1:3" x14ac:dyDescent="0.3">
      <c r="A1986" s="22">
        <v>4.1250000000000003E-6</v>
      </c>
      <c r="B1986" s="22">
        <v>-1.0540201039999999E-3</v>
      </c>
      <c r="C1986" s="22">
        <f t="shared" si="30"/>
        <v>-1.0540201039999999</v>
      </c>
    </row>
    <row r="1987" spans="1:3" x14ac:dyDescent="0.3">
      <c r="A1987" s="22">
        <v>4.1300000000000003E-6</v>
      </c>
      <c r="B1987" s="22">
        <v>4.5351756800000002E-4</v>
      </c>
      <c r="C1987" s="22">
        <f t="shared" si="30"/>
        <v>0.45351756800000004</v>
      </c>
    </row>
    <row r="1988" spans="1:3" x14ac:dyDescent="0.3">
      <c r="A1988" s="22">
        <v>4.1350000000000002E-6</v>
      </c>
      <c r="B1988" s="22">
        <v>-2.5000001200000001E-4</v>
      </c>
      <c r="C1988" s="22">
        <f t="shared" ref="C1988:C2001" si="31">B1988*10^3</f>
        <v>-0.25000001199999999</v>
      </c>
    </row>
    <row r="1989" spans="1:3" x14ac:dyDescent="0.3">
      <c r="A1989" s="22">
        <v>4.1400000000000002E-6</v>
      </c>
      <c r="B1989" s="22">
        <v>-1.958542707E-3</v>
      </c>
      <c r="C1989" s="22">
        <f t="shared" si="31"/>
        <v>-1.9585427069999999</v>
      </c>
    </row>
    <row r="1990" spans="1:3" x14ac:dyDescent="0.3">
      <c r="A1990" s="22">
        <v>4.1450000000000001E-6</v>
      </c>
      <c r="B1990" s="22">
        <v>-1.7575376840000001E-3</v>
      </c>
      <c r="C1990" s="22">
        <f t="shared" si="31"/>
        <v>-1.7575376840000001</v>
      </c>
    </row>
    <row r="1991" spans="1:3" x14ac:dyDescent="0.3">
      <c r="A1991" s="22">
        <v>4.1500000000000001E-6</v>
      </c>
      <c r="B1991" s="22">
        <v>-1.4560301499999999E-3</v>
      </c>
      <c r="C1991" s="22">
        <f t="shared" si="31"/>
        <v>-1.4560301499999999</v>
      </c>
    </row>
    <row r="1992" spans="1:3" x14ac:dyDescent="0.3">
      <c r="A1992" s="22">
        <v>4.155E-6</v>
      </c>
      <c r="B1992" s="22">
        <v>-7.52512569E-4</v>
      </c>
      <c r="C1992" s="22">
        <f t="shared" si="31"/>
        <v>-0.75251256899999996</v>
      </c>
    </row>
    <row r="1993" spans="1:3" x14ac:dyDescent="0.3">
      <c r="A1993" s="22">
        <v>4.16E-6</v>
      </c>
      <c r="B1993" s="22">
        <v>-1.4560301499999999E-3</v>
      </c>
      <c r="C1993" s="22">
        <f t="shared" si="31"/>
        <v>-1.4560301499999999</v>
      </c>
    </row>
    <row r="1994" spans="1:3" x14ac:dyDescent="0.3">
      <c r="A1994" s="22">
        <v>4.1649999999999999E-6</v>
      </c>
      <c r="B1994" s="22">
        <v>-2.2600502419999999E-3</v>
      </c>
      <c r="C1994" s="22">
        <f t="shared" si="31"/>
        <v>-2.2600502419999997</v>
      </c>
    </row>
    <row r="1995" spans="1:3" x14ac:dyDescent="0.3">
      <c r="A1995" s="22">
        <v>4.1699999999999999E-6</v>
      </c>
      <c r="B1995" s="22">
        <v>-3.0640703329999999E-3</v>
      </c>
      <c r="C1995" s="22">
        <f t="shared" si="31"/>
        <v>-3.0640703330000001</v>
      </c>
    </row>
    <row r="1996" spans="1:3" x14ac:dyDescent="0.3">
      <c r="A1996" s="22">
        <v>4.1749999999999998E-6</v>
      </c>
      <c r="B1996" s="22">
        <v>-3.0640703329999999E-3</v>
      </c>
      <c r="C1996" s="22">
        <f t="shared" si="31"/>
        <v>-3.0640703330000001</v>
      </c>
    </row>
    <row r="1997" spans="1:3" x14ac:dyDescent="0.3">
      <c r="A1997" s="22">
        <v>4.1799999999999998E-6</v>
      </c>
      <c r="B1997" s="22">
        <v>-3.0640703329999999E-3</v>
      </c>
      <c r="C1997" s="22">
        <f t="shared" si="31"/>
        <v>-3.0640703330000001</v>
      </c>
    </row>
    <row r="1998" spans="1:3" x14ac:dyDescent="0.3">
      <c r="A1998" s="22">
        <v>4.1849999999999997E-6</v>
      </c>
      <c r="B1998" s="22">
        <v>-3.8680904249999998E-3</v>
      </c>
      <c r="C1998" s="22">
        <f t="shared" si="31"/>
        <v>-3.8680904249999997</v>
      </c>
    </row>
    <row r="1999" spans="1:3" x14ac:dyDescent="0.3">
      <c r="A1999" s="22">
        <v>4.1899999999999997E-6</v>
      </c>
      <c r="B1999" s="22">
        <v>-3.3655778679999998E-3</v>
      </c>
      <c r="C1999" s="22">
        <f t="shared" si="31"/>
        <v>-3.3655778679999999</v>
      </c>
    </row>
    <row r="2000" spans="1:3" x14ac:dyDescent="0.3">
      <c r="A2000" s="22">
        <v>4.1949999999999996E-6</v>
      </c>
      <c r="B2000" s="22">
        <v>-4.2701004710000001E-3</v>
      </c>
      <c r="C2000" s="22">
        <f t="shared" si="31"/>
        <v>-4.2701004710000001</v>
      </c>
    </row>
    <row r="2001" spans="1:3" x14ac:dyDescent="0.3">
      <c r="A2001" s="22">
        <v>4.1999999999999996E-6</v>
      </c>
      <c r="B2001" s="22">
        <v>-3.8680904249999998E-3</v>
      </c>
      <c r="C2001" s="22">
        <f t="shared" si="31"/>
        <v>-3.8680904249999997</v>
      </c>
    </row>
    <row r="2002" spans="1:3" x14ac:dyDescent="0.3">
      <c r="A2002" s="2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313F4-496E-4031-9F7C-914E230B13CF}">
  <dimension ref="A1:M2002"/>
  <sheetViews>
    <sheetView topLeftCell="A10" workbookViewId="0">
      <selection activeCell="L36" sqref="L36"/>
    </sheetView>
  </sheetViews>
  <sheetFormatPr defaultRowHeight="14.4" x14ac:dyDescent="0.3"/>
  <cols>
    <col min="6" max="6" width="17.33203125" customWidth="1"/>
    <col min="7" max="7" width="15.44140625" customWidth="1"/>
  </cols>
  <sheetData>
    <row r="1" spans="1:2" x14ac:dyDescent="0.3">
      <c r="A1" t="s">
        <v>93</v>
      </c>
      <c r="B1">
        <v>1</v>
      </c>
    </row>
    <row r="2" spans="1:2" x14ac:dyDescent="0.3">
      <c r="A2" t="s">
        <v>94</v>
      </c>
      <c r="B2" t="s">
        <v>95</v>
      </c>
    </row>
    <row r="3" spans="1:2" x14ac:dyDescent="0.3">
      <c r="A3" s="22">
        <v>-7.6199999999999999E-6</v>
      </c>
      <c r="B3" s="22">
        <v>-3.5322863958000002E-2</v>
      </c>
    </row>
    <row r="4" spans="1:2" x14ac:dyDescent="0.3">
      <c r="A4" s="22">
        <v>-7.6149999999999999E-6</v>
      </c>
      <c r="B4" s="22">
        <v>-3.2910803682000001E-2</v>
      </c>
    </row>
    <row r="5" spans="1:2" x14ac:dyDescent="0.3">
      <c r="A5" s="22">
        <v>-7.61E-6</v>
      </c>
      <c r="B5" s="22">
        <v>-3.7734924234000003E-2</v>
      </c>
    </row>
    <row r="6" spans="1:2" x14ac:dyDescent="0.3">
      <c r="A6" s="22">
        <v>-7.605E-6</v>
      </c>
      <c r="B6" s="22">
        <v>-3.6126884050000002E-2</v>
      </c>
    </row>
    <row r="7" spans="1:2" x14ac:dyDescent="0.3">
      <c r="A7" s="22">
        <v>-7.6000000000000001E-6</v>
      </c>
      <c r="B7" s="22">
        <v>-3.6930904142000003E-2</v>
      </c>
    </row>
    <row r="8" spans="1:2" x14ac:dyDescent="0.3">
      <c r="A8" s="22">
        <v>-7.5950000000000001E-6</v>
      </c>
      <c r="B8" s="22">
        <v>-3.6126884050000002E-2</v>
      </c>
    </row>
    <row r="9" spans="1:2" x14ac:dyDescent="0.3">
      <c r="A9" s="22">
        <v>-7.5900000000000002E-6</v>
      </c>
      <c r="B9" s="22">
        <v>-3.7734924234000003E-2</v>
      </c>
    </row>
    <row r="10" spans="1:2" x14ac:dyDescent="0.3">
      <c r="A10" s="22">
        <v>-7.5850000000000002E-6</v>
      </c>
      <c r="B10" s="22">
        <v>-3.6930904142000003E-2</v>
      </c>
    </row>
    <row r="11" spans="1:2" x14ac:dyDescent="0.3">
      <c r="A11" s="22">
        <v>-7.5800000000000003E-6</v>
      </c>
      <c r="B11" s="22">
        <v>-3.1302763498E-2</v>
      </c>
    </row>
    <row r="12" spans="1:2" x14ac:dyDescent="0.3">
      <c r="A12" s="22">
        <v>-7.5750000000000003E-6</v>
      </c>
      <c r="B12" s="22">
        <v>-3.5322863958000002E-2</v>
      </c>
    </row>
    <row r="13" spans="1:2" x14ac:dyDescent="0.3">
      <c r="A13" s="22">
        <v>-7.5700000000000004E-6</v>
      </c>
      <c r="B13" s="22">
        <v>-3.5322863958000002E-2</v>
      </c>
    </row>
    <row r="14" spans="1:2" x14ac:dyDescent="0.3">
      <c r="A14" s="22">
        <v>-7.5650000000000004E-6</v>
      </c>
      <c r="B14" s="22">
        <v>-3.6126884050000002E-2</v>
      </c>
    </row>
    <row r="15" spans="1:2" x14ac:dyDescent="0.3">
      <c r="A15" s="22">
        <v>-7.5599999999999996E-6</v>
      </c>
      <c r="B15" s="22">
        <v>-3.6930904142000003E-2</v>
      </c>
    </row>
    <row r="16" spans="1:2" x14ac:dyDescent="0.3">
      <c r="A16" s="22">
        <v>-7.5549999999999997E-6</v>
      </c>
      <c r="B16" s="22">
        <v>-3.210678359E-2</v>
      </c>
    </row>
    <row r="17" spans="1:8" x14ac:dyDescent="0.3">
      <c r="A17" s="22">
        <v>-7.5499999999999997E-6</v>
      </c>
      <c r="B17" s="22">
        <v>-3.6126884050000002E-2</v>
      </c>
    </row>
    <row r="18" spans="1:8" x14ac:dyDescent="0.3">
      <c r="A18" s="22">
        <v>-7.5449999999999998E-6</v>
      </c>
      <c r="B18" s="22">
        <v>-3.2910803682000001E-2</v>
      </c>
    </row>
    <row r="19" spans="1:8" x14ac:dyDescent="0.3">
      <c r="A19" s="22">
        <v>-7.5399999999999998E-6</v>
      </c>
      <c r="B19" s="22">
        <v>-3.6126884050000002E-2</v>
      </c>
    </row>
    <row r="20" spans="1:8" x14ac:dyDescent="0.3">
      <c r="A20" s="22">
        <v>-7.5349999999999999E-6</v>
      </c>
      <c r="B20" s="22">
        <v>-3.4518843866000001E-2</v>
      </c>
    </row>
    <row r="21" spans="1:8" x14ac:dyDescent="0.3">
      <c r="A21" s="22">
        <v>-7.5299999999999999E-6</v>
      </c>
      <c r="B21" s="22">
        <v>-3.2910803682000001E-2</v>
      </c>
    </row>
    <row r="22" spans="1:8" x14ac:dyDescent="0.3">
      <c r="A22" s="22">
        <v>-7.525E-6</v>
      </c>
      <c r="B22" s="22">
        <v>-3.6126884050000002E-2</v>
      </c>
    </row>
    <row r="23" spans="1:8" x14ac:dyDescent="0.3">
      <c r="A23" s="22">
        <v>-7.52E-6</v>
      </c>
      <c r="B23" s="22">
        <v>-3.210678359E-2</v>
      </c>
    </row>
    <row r="24" spans="1:8" x14ac:dyDescent="0.3">
      <c r="A24" s="22">
        <v>-7.515E-6</v>
      </c>
      <c r="B24" s="22">
        <v>-3.3714823774000001E-2</v>
      </c>
    </row>
    <row r="25" spans="1:8" x14ac:dyDescent="0.3">
      <c r="A25" s="22">
        <v>-7.5100000000000001E-6</v>
      </c>
      <c r="B25" s="22">
        <v>-3.4518843866000001E-2</v>
      </c>
    </row>
    <row r="26" spans="1:8" x14ac:dyDescent="0.3">
      <c r="A26" s="22">
        <v>-7.5050000000000001E-6</v>
      </c>
      <c r="B26" s="22">
        <v>-3.4518843866000001E-2</v>
      </c>
    </row>
    <row r="27" spans="1:8" x14ac:dyDescent="0.3">
      <c r="A27" s="22">
        <v>-7.5000000000000002E-6</v>
      </c>
      <c r="B27" s="22">
        <v>-3.6126884050000002E-2</v>
      </c>
    </row>
    <row r="28" spans="1:8" x14ac:dyDescent="0.3">
      <c r="A28" s="22">
        <v>-7.4950000000000002E-6</v>
      </c>
      <c r="B28" s="22">
        <v>-3.5322863958000002E-2</v>
      </c>
    </row>
    <row r="29" spans="1:8" x14ac:dyDescent="0.3">
      <c r="A29" s="22">
        <v>-7.4900000000000003E-6</v>
      </c>
      <c r="B29" s="22">
        <v>-3.210678359E-2</v>
      </c>
      <c r="H29" t="s">
        <v>99</v>
      </c>
    </row>
    <row r="30" spans="1:8" x14ac:dyDescent="0.3">
      <c r="A30" s="22">
        <v>-7.4850000000000003E-6</v>
      </c>
      <c r="B30" s="22">
        <v>-3.6126884050000002E-2</v>
      </c>
      <c r="F30" t="s">
        <v>96</v>
      </c>
      <c r="G30" s="22">
        <f>AVERAGE(B3:B379)</f>
        <v>-3.4725713757021159E-2</v>
      </c>
      <c r="H30" s="22">
        <f>0.1*G34</f>
        <v>6.5672389209747127E-3</v>
      </c>
    </row>
    <row r="31" spans="1:8" x14ac:dyDescent="0.3">
      <c r="A31" s="22">
        <v>-7.4800000000000004E-6</v>
      </c>
      <c r="B31" s="22">
        <v>-3.210678359E-2</v>
      </c>
    </row>
    <row r="32" spans="1:8" x14ac:dyDescent="0.3">
      <c r="A32" s="22">
        <v>-7.4749999999999996E-6</v>
      </c>
      <c r="B32" s="22">
        <v>-3.2910803682000001E-2</v>
      </c>
      <c r="F32" t="s">
        <v>97</v>
      </c>
      <c r="G32" s="22">
        <f>AVERAGE(B864:B1206)</f>
        <v>3.0946675452725957E-2</v>
      </c>
      <c r="H32" s="22">
        <f>0.9*G34</f>
        <v>5.9105150288772411E-2</v>
      </c>
    </row>
    <row r="33" spans="1:13" x14ac:dyDescent="0.3">
      <c r="A33" s="22">
        <v>-7.4699999999999996E-6</v>
      </c>
      <c r="B33" s="22">
        <v>-3.6930904142000003E-2</v>
      </c>
    </row>
    <row r="34" spans="1:13" x14ac:dyDescent="0.3">
      <c r="A34" s="22">
        <v>-7.4649999999999997E-6</v>
      </c>
      <c r="B34" s="22">
        <v>-3.6930904142000003E-2</v>
      </c>
      <c r="F34" t="s">
        <v>98</v>
      </c>
      <c r="G34" s="22">
        <f>G32-G30</f>
        <v>6.567238920974712E-2</v>
      </c>
    </row>
    <row r="35" spans="1:13" x14ac:dyDescent="0.3">
      <c r="A35" s="22">
        <v>-7.4599999999999997E-6</v>
      </c>
      <c r="B35" s="22">
        <v>-3.4518843866000001E-2</v>
      </c>
      <c r="L35" t="s">
        <v>103</v>
      </c>
      <c r="M35" t="s">
        <v>104</v>
      </c>
    </row>
    <row r="36" spans="1:13" x14ac:dyDescent="0.3">
      <c r="A36" s="22">
        <v>-7.4549999999999998E-6</v>
      </c>
      <c r="B36" s="22">
        <v>-3.4518843866000001E-2</v>
      </c>
      <c r="F36" t="s">
        <v>100</v>
      </c>
      <c r="G36" s="22">
        <f>G30+H30</f>
        <v>-2.8158474836046447E-2</v>
      </c>
      <c r="I36" t="s">
        <v>102</v>
      </c>
      <c r="J36" s="22">
        <v>-4.8300000000000003E-6</v>
      </c>
      <c r="K36" s="22">
        <f>AVERAGE(A1646,A1653,A1633,A1620,A1628)</f>
        <v>5.4500000000000008E-7</v>
      </c>
      <c r="L36" s="22">
        <f>-J36+J37</f>
        <v>3.6416666666666727E-7</v>
      </c>
      <c r="M36" s="22">
        <f>K36-K37</f>
        <v>4.3000000000000007E-7</v>
      </c>
    </row>
    <row r="37" spans="1:13" x14ac:dyDescent="0.3">
      <c r="A37" s="22">
        <v>-7.4499999999999998E-6</v>
      </c>
      <c r="B37" s="22">
        <v>-3.5322863958000002E-2</v>
      </c>
      <c r="F37" t="s">
        <v>101</v>
      </c>
      <c r="G37" s="22">
        <f>G30+H32</f>
        <v>2.4379436531751252E-2</v>
      </c>
      <c r="J37" s="22">
        <f>AVERAGE(A620,A624,A633,A653,A638,A635)</f>
        <v>-4.4658333333333331E-6</v>
      </c>
      <c r="K37" s="22">
        <f>AVERAGE(A1529,A1534,A1530,A1557,A1558,A1559,A1560,A1561,A1562)</f>
        <v>1.1500000000000001E-7</v>
      </c>
    </row>
    <row r="38" spans="1:13" x14ac:dyDescent="0.3">
      <c r="A38" s="22">
        <v>-7.4449999999999999E-6</v>
      </c>
      <c r="B38" s="22">
        <v>-3.3714823774000001E-2</v>
      </c>
      <c r="L38" t="s">
        <v>105</v>
      </c>
      <c r="M38" t="s">
        <v>106</v>
      </c>
    </row>
    <row r="39" spans="1:13" x14ac:dyDescent="0.3">
      <c r="A39" s="22">
        <v>-7.4399999999999999E-6</v>
      </c>
      <c r="B39" s="22">
        <v>-3.3714823774000001E-2</v>
      </c>
      <c r="G39" s="22"/>
      <c r="H39" s="22"/>
    </row>
    <row r="40" spans="1:13" x14ac:dyDescent="0.3">
      <c r="A40" s="22">
        <v>-7.435E-6</v>
      </c>
      <c r="B40" s="22">
        <v>-3.6126884050000002E-2</v>
      </c>
    </row>
    <row r="41" spans="1:13" x14ac:dyDescent="0.3">
      <c r="A41" s="22">
        <v>-7.43E-6</v>
      </c>
      <c r="B41" s="22">
        <v>-3.6126884050000002E-2</v>
      </c>
    </row>
    <row r="42" spans="1:13" x14ac:dyDescent="0.3">
      <c r="A42" s="22">
        <v>-7.4250000000000001E-6</v>
      </c>
      <c r="B42" s="22">
        <v>-3.6930904142000003E-2</v>
      </c>
    </row>
    <row r="43" spans="1:13" x14ac:dyDescent="0.3">
      <c r="A43" s="22">
        <v>-7.4200000000000001E-6</v>
      </c>
      <c r="B43" s="22">
        <v>-3.3714823774000001E-2</v>
      </c>
    </row>
    <row r="44" spans="1:13" x14ac:dyDescent="0.3">
      <c r="A44" s="22">
        <v>-7.4150000000000002E-6</v>
      </c>
      <c r="B44" s="22">
        <v>-3.4518843866000001E-2</v>
      </c>
    </row>
    <row r="45" spans="1:13" x14ac:dyDescent="0.3">
      <c r="A45" s="22">
        <v>-7.4100000000000002E-6</v>
      </c>
      <c r="B45" s="22">
        <v>-3.6930904142000003E-2</v>
      </c>
    </row>
    <row r="46" spans="1:13" x14ac:dyDescent="0.3">
      <c r="A46" s="22">
        <v>-7.4050000000000003E-6</v>
      </c>
      <c r="B46" s="22">
        <v>-3.4518843866000001E-2</v>
      </c>
    </row>
    <row r="47" spans="1:13" x14ac:dyDescent="0.3">
      <c r="A47" s="22">
        <v>-7.4000000000000003E-6</v>
      </c>
      <c r="B47" s="22">
        <v>-3.6126884050000002E-2</v>
      </c>
    </row>
    <row r="48" spans="1:13" x14ac:dyDescent="0.3">
      <c r="A48" s="22">
        <v>-7.3950000000000003E-6</v>
      </c>
      <c r="B48" s="22">
        <v>-3.5322863958000002E-2</v>
      </c>
    </row>
    <row r="49" spans="1:2" x14ac:dyDescent="0.3">
      <c r="A49" s="22">
        <v>-7.3900000000000004E-6</v>
      </c>
      <c r="B49" s="22">
        <v>-3.4518843866000001E-2</v>
      </c>
    </row>
    <row r="50" spans="1:2" x14ac:dyDescent="0.3">
      <c r="A50" s="22">
        <v>-7.3849999999999996E-6</v>
      </c>
      <c r="B50" s="22">
        <v>-3.5322863958000002E-2</v>
      </c>
    </row>
    <row r="51" spans="1:2" x14ac:dyDescent="0.3">
      <c r="A51" s="22">
        <v>-7.3799999999999996E-6</v>
      </c>
      <c r="B51" s="22">
        <v>-3.6126884050000002E-2</v>
      </c>
    </row>
    <row r="52" spans="1:2" x14ac:dyDescent="0.3">
      <c r="A52" s="22">
        <v>-7.3749999999999997E-6</v>
      </c>
      <c r="B52" s="22">
        <v>-3.2910803682000001E-2</v>
      </c>
    </row>
    <row r="53" spans="1:2" x14ac:dyDescent="0.3">
      <c r="A53" s="22">
        <v>-7.3699999999999997E-6</v>
      </c>
      <c r="B53" s="22">
        <v>-3.9342964416999998E-2</v>
      </c>
    </row>
    <row r="54" spans="1:2" x14ac:dyDescent="0.3">
      <c r="A54" s="22">
        <v>-7.3649999999999998E-6</v>
      </c>
      <c r="B54" s="22">
        <v>-3.5322863958000002E-2</v>
      </c>
    </row>
    <row r="55" spans="1:2" x14ac:dyDescent="0.3">
      <c r="A55" s="22">
        <v>-7.3599999999999998E-6</v>
      </c>
      <c r="B55" s="22">
        <v>-3.7734924234000003E-2</v>
      </c>
    </row>
    <row r="56" spans="1:2" x14ac:dyDescent="0.3">
      <c r="A56" s="22">
        <v>-7.3549999999999999E-6</v>
      </c>
      <c r="B56" s="22">
        <v>-3.6126884050000002E-2</v>
      </c>
    </row>
    <row r="57" spans="1:2" x14ac:dyDescent="0.3">
      <c r="A57" s="22">
        <v>-7.3499999999999999E-6</v>
      </c>
      <c r="B57" s="22">
        <v>-3.6930904142000003E-2</v>
      </c>
    </row>
    <row r="58" spans="1:2" x14ac:dyDescent="0.3">
      <c r="A58" s="22">
        <v>-7.345E-6</v>
      </c>
      <c r="B58" s="22">
        <v>-3.6126884050000002E-2</v>
      </c>
    </row>
    <row r="59" spans="1:2" x14ac:dyDescent="0.3">
      <c r="A59" s="22">
        <v>-7.34E-6</v>
      </c>
      <c r="B59" s="22">
        <v>-3.2910803682000001E-2</v>
      </c>
    </row>
    <row r="60" spans="1:2" x14ac:dyDescent="0.3">
      <c r="A60" s="22">
        <v>-7.3350000000000001E-6</v>
      </c>
      <c r="B60" s="22">
        <v>-3.3714823774000001E-2</v>
      </c>
    </row>
    <row r="61" spans="1:2" x14ac:dyDescent="0.3">
      <c r="A61" s="22">
        <v>-7.3300000000000001E-6</v>
      </c>
      <c r="B61" s="22">
        <v>-3.3714823774000001E-2</v>
      </c>
    </row>
    <row r="62" spans="1:2" x14ac:dyDescent="0.3">
      <c r="A62" s="22">
        <v>-7.3250000000000002E-6</v>
      </c>
      <c r="B62" s="22">
        <v>-3.6930904142000003E-2</v>
      </c>
    </row>
    <row r="63" spans="1:2" x14ac:dyDescent="0.3">
      <c r="A63" s="22">
        <v>-7.3200000000000002E-6</v>
      </c>
      <c r="B63" s="22">
        <v>-3.6126884050000002E-2</v>
      </c>
    </row>
    <row r="64" spans="1:2" x14ac:dyDescent="0.3">
      <c r="A64" s="22">
        <v>-7.3150000000000003E-6</v>
      </c>
      <c r="B64" s="22">
        <v>-3.5322863958000002E-2</v>
      </c>
    </row>
    <row r="65" spans="1:2" x14ac:dyDescent="0.3">
      <c r="A65" s="22">
        <v>-7.3100000000000003E-6</v>
      </c>
      <c r="B65" s="22">
        <v>-3.5322863958000002E-2</v>
      </c>
    </row>
    <row r="66" spans="1:2" x14ac:dyDescent="0.3">
      <c r="A66" s="22">
        <v>-7.3050000000000004E-6</v>
      </c>
      <c r="B66" s="22">
        <v>-3.2910803682000001E-2</v>
      </c>
    </row>
    <row r="67" spans="1:2" x14ac:dyDescent="0.3">
      <c r="A67" s="22">
        <v>-7.3000000000000004E-6</v>
      </c>
      <c r="B67" s="22">
        <v>-3.6126884050000002E-2</v>
      </c>
    </row>
    <row r="68" spans="1:2" x14ac:dyDescent="0.3">
      <c r="A68" s="22">
        <v>-7.2949999999999996E-6</v>
      </c>
      <c r="B68" s="22">
        <v>-3.6930904142000003E-2</v>
      </c>
    </row>
    <row r="69" spans="1:2" x14ac:dyDescent="0.3">
      <c r="A69" s="22">
        <v>-7.2899999999999997E-6</v>
      </c>
      <c r="B69" s="22">
        <v>-3.7734924234000003E-2</v>
      </c>
    </row>
    <row r="70" spans="1:2" x14ac:dyDescent="0.3">
      <c r="A70" s="22">
        <v>-7.2849999999999997E-6</v>
      </c>
      <c r="B70" s="22">
        <v>-3.6126884050000002E-2</v>
      </c>
    </row>
    <row r="71" spans="1:2" x14ac:dyDescent="0.3">
      <c r="A71" s="22">
        <v>-7.2799999999999998E-6</v>
      </c>
      <c r="B71" s="22">
        <v>-3.8538944324999998E-2</v>
      </c>
    </row>
    <row r="72" spans="1:2" x14ac:dyDescent="0.3">
      <c r="A72" s="22">
        <v>-7.2749999999999998E-6</v>
      </c>
      <c r="B72" s="22">
        <v>-3.6126884050000002E-2</v>
      </c>
    </row>
    <row r="73" spans="1:2" x14ac:dyDescent="0.3">
      <c r="A73" s="22">
        <v>-7.2699999999999999E-6</v>
      </c>
      <c r="B73" s="22">
        <v>-3.8538944324999998E-2</v>
      </c>
    </row>
    <row r="74" spans="1:2" x14ac:dyDescent="0.3">
      <c r="A74" s="22">
        <v>-7.2649999999999999E-6</v>
      </c>
      <c r="B74" s="22">
        <v>-3.5322863958000002E-2</v>
      </c>
    </row>
    <row r="75" spans="1:2" x14ac:dyDescent="0.3">
      <c r="A75" s="22">
        <v>-7.2599999999999999E-6</v>
      </c>
      <c r="B75" s="22">
        <v>-3.5322863958000002E-2</v>
      </c>
    </row>
    <row r="76" spans="1:2" x14ac:dyDescent="0.3">
      <c r="A76" s="22">
        <v>-7.255E-6</v>
      </c>
      <c r="B76" s="22">
        <v>-3.5322863958000002E-2</v>
      </c>
    </row>
    <row r="77" spans="1:2" x14ac:dyDescent="0.3">
      <c r="A77" s="22">
        <v>-7.25E-6</v>
      </c>
      <c r="B77" s="22">
        <v>-3.6126884050000002E-2</v>
      </c>
    </row>
    <row r="78" spans="1:2" x14ac:dyDescent="0.3">
      <c r="A78" s="22">
        <v>-7.2450000000000001E-6</v>
      </c>
      <c r="B78" s="22">
        <v>-3.3714823774000001E-2</v>
      </c>
    </row>
    <row r="79" spans="1:2" x14ac:dyDescent="0.3">
      <c r="A79" s="22">
        <v>-7.2400000000000001E-6</v>
      </c>
      <c r="B79" s="22">
        <v>-3.8538944324999998E-2</v>
      </c>
    </row>
    <row r="80" spans="1:2" x14ac:dyDescent="0.3">
      <c r="A80" s="22">
        <v>-7.2350000000000002E-6</v>
      </c>
      <c r="B80" s="22">
        <v>-3.5322863958000002E-2</v>
      </c>
    </row>
    <row r="81" spans="1:2" x14ac:dyDescent="0.3">
      <c r="A81" s="22">
        <v>-7.2300000000000002E-6</v>
      </c>
      <c r="B81" s="22">
        <v>-3.7734924234000003E-2</v>
      </c>
    </row>
    <row r="82" spans="1:2" x14ac:dyDescent="0.3">
      <c r="A82" s="22">
        <v>-7.2250000000000003E-6</v>
      </c>
      <c r="B82" s="22">
        <v>-3.6126884050000002E-2</v>
      </c>
    </row>
    <row r="83" spans="1:2" x14ac:dyDescent="0.3">
      <c r="A83" s="22">
        <v>-7.2200000000000003E-6</v>
      </c>
      <c r="B83" s="22">
        <v>-3.3714823774000001E-2</v>
      </c>
    </row>
    <row r="84" spans="1:2" x14ac:dyDescent="0.3">
      <c r="A84" s="22">
        <v>-7.2150000000000004E-6</v>
      </c>
      <c r="B84" s="22">
        <v>-3.5322863958000002E-2</v>
      </c>
    </row>
    <row r="85" spans="1:2" x14ac:dyDescent="0.3">
      <c r="A85" s="22">
        <v>-7.2099999999999996E-6</v>
      </c>
      <c r="B85" s="22">
        <v>-3.4518843866000001E-2</v>
      </c>
    </row>
    <row r="86" spans="1:2" x14ac:dyDescent="0.3">
      <c r="A86" s="22">
        <v>-7.2049999999999996E-6</v>
      </c>
      <c r="B86" s="22">
        <v>-3.4518843866000001E-2</v>
      </c>
    </row>
    <row r="87" spans="1:2" x14ac:dyDescent="0.3">
      <c r="A87" s="22">
        <v>-7.1999999999999997E-6</v>
      </c>
      <c r="B87" s="22">
        <v>-3.6930904142000003E-2</v>
      </c>
    </row>
    <row r="88" spans="1:2" x14ac:dyDescent="0.3">
      <c r="A88" s="22">
        <v>-7.1949999999999997E-6</v>
      </c>
      <c r="B88" s="22">
        <v>-3.210678359E-2</v>
      </c>
    </row>
    <row r="89" spans="1:2" x14ac:dyDescent="0.3">
      <c r="A89" s="22">
        <v>-7.1899999999999998E-6</v>
      </c>
      <c r="B89" s="22">
        <v>-3.8538944324999998E-2</v>
      </c>
    </row>
    <row r="90" spans="1:2" x14ac:dyDescent="0.3">
      <c r="A90" s="22">
        <v>-7.1849999999999998E-6</v>
      </c>
      <c r="B90" s="22">
        <v>-3.3714823774000001E-2</v>
      </c>
    </row>
    <row r="91" spans="1:2" x14ac:dyDescent="0.3">
      <c r="A91" s="22">
        <v>-7.1799999999999999E-6</v>
      </c>
      <c r="B91" s="22">
        <v>-3.4518843866000001E-2</v>
      </c>
    </row>
    <row r="92" spans="1:2" x14ac:dyDescent="0.3">
      <c r="A92" s="22">
        <v>-7.1749999999999999E-6</v>
      </c>
      <c r="B92" s="22">
        <v>-3.4518843866000001E-2</v>
      </c>
    </row>
    <row r="93" spans="1:2" x14ac:dyDescent="0.3">
      <c r="A93" s="22">
        <v>-7.17E-6</v>
      </c>
      <c r="B93" s="22">
        <v>-3.6126884050000002E-2</v>
      </c>
    </row>
    <row r="94" spans="1:2" x14ac:dyDescent="0.3">
      <c r="A94" s="22">
        <v>-7.165E-6</v>
      </c>
      <c r="B94" s="22">
        <v>-3.4518843866000001E-2</v>
      </c>
    </row>
    <row r="95" spans="1:2" x14ac:dyDescent="0.3">
      <c r="A95" s="22">
        <v>-7.1600000000000001E-6</v>
      </c>
      <c r="B95" s="22">
        <v>-3.5322863958000002E-2</v>
      </c>
    </row>
    <row r="96" spans="1:2" x14ac:dyDescent="0.3">
      <c r="A96" s="22">
        <v>-7.1550000000000001E-6</v>
      </c>
      <c r="B96" s="22">
        <v>-3.4518843866000001E-2</v>
      </c>
    </row>
    <row r="97" spans="1:2" x14ac:dyDescent="0.3">
      <c r="A97" s="22">
        <v>-7.1500000000000002E-6</v>
      </c>
      <c r="B97" s="22">
        <v>-3.4518843866000001E-2</v>
      </c>
    </row>
    <row r="98" spans="1:2" x14ac:dyDescent="0.3">
      <c r="A98" s="22">
        <v>-7.1450000000000002E-6</v>
      </c>
      <c r="B98" s="22">
        <v>-3.2910803682000001E-2</v>
      </c>
    </row>
    <row r="99" spans="1:2" x14ac:dyDescent="0.3">
      <c r="A99" s="22">
        <v>-7.1400000000000002E-6</v>
      </c>
      <c r="B99" s="22">
        <v>-3.3714823774000001E-2</v>
      </c>
    </row>
    <row r="100" spans="1:2" x14ac:dyDescent="0.3">
      <c r="A100" s="22">
        <v>-7.1350000000000003E-6</v>
      </c>
      <c r="B100" s="22">
        <v>-3.6126884050000002E-2</v>
      </c>
    </row>
    <row r="101" spans="1:2" x14ac:dyDescent="0.3">
      <c r="A101" s="22">
        <v>-7.1300000000000003E-6</v>
      </c>
      <c r="B101" s="22">
        <v>-3.3714823774000001E-2</v>
      </c>
    </row>
    <row r="102" spans="1:2" x14ac:dyDescent="0.3">
      <c r="A102" s="22">
        <v>-7.1250000000000004E-6</v>
      </c>
      <c r="B102" s="22">
        <v>-3.5322863958000002E-2</v>
      </c>
    </row>
    <row r="103" spans="1:2" x14ac:dyDescent="0.3">
      <c r="A103" s="22">
        <v>-7.1199999999999996E-6</v>
      </c>
      <c r="B103" s="22">
        <v>-3.7734924234000003E-2</v>
      </c>
    </row>
    <row r="104" spans="1:2" x14ac:dyDescent="0.3">
      <c r="A104" s="22">
        <v>-7.1149999999999996E-6</v>
      </c>
      <c r="B104" s="22">
        <v>-3.2910803682000001E-2</v>
      </c>
    </row>
    <row r="105" spans="1:2" x14ac:dyDescent="0.3">
      <c r="A105" s="22">
        <v>-7.1099999999999997E-6</v>
      </c>
      <c r="B105" s="22">
        <v>-3.4518843866000001E-2</v>
      </c>
    </row>
    <row r="106" spans="1:2" x14ac:dyDescent="0.3">
      <c r="A106" s="22">
        <v>-7.1049999999999997E-6</v>
      </c>
      <c r="B106" s="22">
        <v>-3.4518843866000001E-2</v>
      </c>
    </row>
    <row r="107" spans="1:2" x14ac:dyDescent="0.3">
      <c r="A107" s="22">
        <v>-7.0999999999999998E-6</v>
      </c>
      <c r="B107" s="22">
        <v>-3.6126884050000002E-2</v>
      </c>
    </row>
    <row r="108" spans="1:2" x14ac:dyDescent="0.3">
      <c r="A108" s="22">
        <v>-7.0949999999999998E-6</v>
      </c>
      <c r="B108" s="22">
        <v>-3.210678359E-2</v>
      </c>
    </row>
    <row r="109" spans="1:2" x14ac:dyDescent="0.3">
      <c r="A109" s="22">
        <v>-7.0899999999999999E-6</v>
      </c>
      <c r="B109" s="22">
        <v>-3.2910803682000001E-2</v>
      </c>
    </row>
    <row r="110" spans="1:2" x14ac:dyDescent="0.3">
      <c r="A110" s="22">
        <v>-7.0849999999999999E-6</v>
      </c>
      <c r="B110" s="22">
        <v>-3.4518843866000001E-2</v>
      </c>
    </row>
    <row r="111" spans="1:2" x14ac:dyDescent="0.3">
      <c r="A111" s="22">
        <v>-7.08E-6</v>
      </c>
      <c r="B111" s="22">
        <v>-3.3714823774000001E-2</v>
      </c>
    </row>
    <row r="112" spans="1:2" x14ac:dyDescent="0.3">
      <c r="A112" s="22">
        <v>-7.075E-6</v>
      </c>
      <c r="B112" s="22">
        <v>-3.4518843866000001E-2</v>
      </c>
    </row>
    <row r="113" spans="1:2" x14ac:dyDescent="0.3">
      <c r="A113" s="22">
        <v>-7.0700000000000001E-6</v>
      </c>
      <c r="B113" s="22">
        <v>-3.1302763498E-2</v>
      </c>
    </row>
    <row r="114" spans="1:2" x14ac:dyDescent="0.3">
      <c r="A114" s="22">
        <v>-7.0650000000000001E-6</v>
      </c>
      <c r="B114" s="22">
        <v>-3.5322863958000002E-2</v>
      </c>
    </row>
    <row r="115" spans="1:2" x14ac:dyDescent="0.3">
      <c r="A115" s="22">
        <v>-7.0600000000000002E-6</v>
      </c>
      <c r="B115" s="22">
        <v>-3.5322863958000002E-2</v>
      </c>
    </row>
    <row r="116" spans="1:2" x14ac:dyDescent="0.3">
      <c r="A116" s="22">
        <v>-7.0550000000000002E-6</v>
      </c>
      <c r="B116" s="22">
        <v>-3.3714823774000001E-2</v>
      </c>
    </row>
    <row r="117" spans="1:2" x14ac:dyDescent="0.3">
      <c r="A117" s="22">
        <v>-7.0500000000000003E-6</v>
      </c>
      <c r="B117" s="22">
        <v>-3.4518843866000001E-2</v>
      </c>
    </row>
    <row r="118" spans="1:2" x14ac:dyDescent="0.3">
      <c r="A118" s="22">
        <v>-7.0450000000000003E-6</v>
      </c>
      <c r="B118" s="22">
        <v>-3.3714823774000001E-2</v>
      </c>
    </row>
    <row r="119" spans="1:2" x14ac:dyDescent="0.3">
      <c r="A119" s="22">
        <v>-7.0400000000000004E-6</v>
      </c>
      <c r="B119" s="22">
        <v>-3.6126884050000002E-2</v>
      </c>
    </row>
    <row r="120" spans="1:2" x14ac:dyDescent="0.3">
      <c r="A120" s="22">
        <v>-7.0350000000000004E-6</v>
      </c>
      <c r="B120" s="22">
        <v>-3.2910803682000001E-2</v>
      </c>
    </row>
    <row r="121" spans="1:2" x14ac:dyDescent="0.3">
      <c r="A121" s="22">
        <v>-7.0299999999999996E-6</v>
      </c>
      <c r="B121" s="22">
        <v>-3.6930904142000003E-2</v>
      </c>
    </row>
    <row r="122" spans="1:2" x14ac:dyDescent="0.3">
      <c r="A122" s="22">
        <v>-7.0249999999999997E-6</v>
      </c>
      <c r="B122" s="22">
        <v>-3.5322863958000002E-2</v>
      </c>
    </row>
    <row r="123" spans="1:2" x14ac:dyDescent="0.3">
      <c r="A123" s="22">
        <v>-7.0199999999999997E-6</v>
      </c>
      <c r="B123" s="22">
        <v>-3.4518843866000001E-2</v>
      </c>
    </row>
    <row r="124" spans="1:2" x14ac:dyDescent="0.3">
      <c r="A124" s="22">
        <v>-7.0149999999999998E-6</v>
      </c>
      <c r="B124" s="22">
        <v>-3.210678359E-2</v>
      </c>
    </row>
    <row r="125" spans="1:2" x14ac:dyDescent="0.3">
      <c r="A125" s="22">
        <v>-7.0099999999999998E-6</v>
      </c>
      <c r="B125" s="22">
        <v>-3.5322863958000002E-2</v>
      </c>
    </row>
    <row r="126" spans="1:2" x14ac:dyDescent="0.3">
      <c r="A126" s="22">
        <v>-7.0049999999999998E-6</v>
      </c>
      <c r="B126" s="22">
        <v>-3.4518843866000001E-2</v>
      </c>
    </row>
    <row r="127" spans="1:2" x14ac:dyDescent="0.3">
      <c r="A127" s="22">
        <v>-6.9999999999999999E-6</v>
      </c>
      <c r="B127" s="22">
        <v>-3.6126884050000002E-2</v>
      </c>
    </row>
    <row r="128" spans="1:2" x14ac:dyDescent="0.3">
      <c r="A128" s="22">
        <v>-6.9949999999999999E-6</v>
      </c>
      <c r="B128" s="22">
        <v>-3.3714823774000001E-2</v>
      </c>
    </row>
    <row r="129" spans="1:2" x14ac:dyDescent="0.3">
      <c r="A129" s="22">
        <v>-6.99E-6</v>
      </c>
      <c r="B129" s="22">
        <v>-3.4518843866000001E-2</v>
      </c>
    </row>
    <row r="130" spans="1:2" x14ac:dyDescent="0.3">
      <c r="A130" s="22">
        <v>-6.985E-6</v>
      </c>
      <c r="B130" s="22">
        <v>-3.210678359E-2</v>
      </c>
    </row>
    <row r="131" spans="1:2" x14ac:dyDescent="0.3">
      <c r="A131" s="22">
        <v>-6.9800000000000001E-6</v>
      </c>
      <c r="B131" s="22">
        <v>-3.210678359E-2</v>
      </c>
    </row>
    <row r="132" spans="1:2" x14ac:dyDescent="0.3">
      <c r="A132" s="22">
        <v>-6.9750000000000001E-6</v>
      </c>
      <c r="B132" s="22">
        <v>-3.6126884050000002E-2</v>
      </c>
    </row>
    <row r="133" spans="1:2" x14ac:dyDescent="0.3">
      <c r="A133" s="22">
        <v>-6.9700000000000002E-6</v>
      </c>
      <c r="B133" s="22">
        <v>-3.5322863958000002E-2</v>
      </c>
    </row>
    <row r="134" spans="1:2" x14ac:dyDescent="0.3">
      <c r="A134" s="22">
        <v>-6.9650000000000002E-6</v>
      </c>
      <c r="B134" s="22">
        <v>-3.5322863958000002E-2</v>
      </c>
    </row>
    <row r="135" spans="1:2" x14ac:dyDescent="0.3">
      <c r="A135" s="22">
        <v>-6.9600000000000003E-6</v>
      </c>
      <c r="B135" s="22">
        <v>-3.5322863958000002E-2</v>
      </c>
    </row>
    <row r="136" spans="1:2" x14ac:dyDescent="0.3">
      <c r="A136" s="22">
        <v>-6.9550000000000003E-6</v>
      </c>
      <c r="B136" s="22">
        <v>-3.1302763498E-2</v>
      </c>
    </row>
    <row r="137" spans="1:2" x14ac:dyDescent="0.3">
      <c r="A137" s="22">
        <v>-6.9500000000000004E-6</v>
      </c>
      <c r="B137" s="22">
        <v>-3.4518843866000001E-2</v>
      </c>
    </row>
    <row r="138" spans="1:2" x14ac:dyDescent="0.3">
      <c r="A138" s="22">
        <v>-6.9450000000000004E-6</v>
      </c>
      <c r="B138" s="22">
        <v>-3.4518843866000001E-2</v>
      </c>
    </row>
    <row r="139" spans="1:2" x14ac:dyDescent="0.3">
      <c r="A139" s="22">
        <v>-6.9399999999999996E-6</v>
      </c>
      <c r="B139" s="22">
        <v>-3.6126884050000002E-2</v>
      </c>
    </row>
    <row r="140" spans="1:2" x14ac:dyDescent="0.3">
      <c r="A140" s="22">
        <v>-6.9349999999999997E-6</v>
      </c>
      <c r="B140" s="22">
        <v>-3.6930904142000003E-2</v>
      </c>
    </row>
    <row r="141" spans="1:2" x14ac:dyDescent="0.3">
      <c r="A141" s="22">
        <v>-6.9299999999999997E-6</v>
      </c>
      <c r="B141" s="22">
        <v>-3.6126884050000002E-2</v>
      </c>
    </row>
    <row r="142" spans="1:2" x14ac:dyDescent="0.3">
      <c r="A142" s="22">
        <v>-6.9249999999999998E-6</v>
      </c>
      <c r="B142" s="22">
        <v>-3.2910803682000001E-2</v>
      </c>
    </row>
    <row r="143" spans="1:2" x14ac:dyDescent="0.3">
      <c r="A143" s="22">
        <v>-6.9199999999999998E-6</v>
      </c>
      <c r="B143" s="22">
        <v>-3.5322863958000002E-2</v>
      </c>
    </row>
    <row r="144" spans="1:2" x14ac:dyDescent="0.3">
      <c r="A144" s="22">
        <v>-6.9149999999999999E-6</v>
      </c>
      <c r="B144" s="22">
        <v>-3.3714823774000001E-2</v>
      </c>
    </row>
    <row r="145" spans="1:2" x14ac:dyDescent="0.3">
      <c r="A145" s="22">
        <v>-6.9099999999999999E-6</v>
      </c>
      <c r="B145" s="22">
        <v>-3.6930904142000003E-2</v>
      </c>
    </row>
    <row r="146" spans="1:2" x14ac:dyDescent="0.3">
      <c r="A146" s="22">
        <v>-6.905E-6</v>
      </c>
      <c r="B146" s="22">
        <v>-3.3714823774000001E-2</v>
      </c>
    </row>
    <row r="147" spans="1:2" x14ac:dyDescent="0.3">
      <c r="A147" s="22">
        <v>-6.9E-6</v>
      </c>
      <c r="B147" s="22">
        <v>-3.6126884050000002E-2</v>
      </c>
    </row>
    <row r="148" spans="1:2" x14ac:dyDescent="0.3">
      <c r="A148" s="22">
        <v>-6.8950000000000001E-6</v>
      </c>
      <c r="B148" s="22">
        <v>-3.210678359E-2</v>
      </c>
    </row>
    <row r="149" spans="1:2" x14ac:dyDescent="0.3">
      <c r="A149" s="22">
        <v>-6.8900000000000001E-6</v>
      </c>
      <c r="B149" s="22">
        <v>-3.5322863958000002E-2</v>
      </c>
    </row>
    <row r="150" spans="1:2" x14ac:dyDescent="0.3">
      <c r="A150" s="22">
        <v>-6.8850000000000001E-6</v>
      </c>
      <c r="B150" s="22">
        <v>-3.6126884050000002E-2</v>
      </c>
    </row>
    <row r="151" spans="1:2" x14ac:dyDescent="0.3">
      <c r="A151" s="22">
        <v>-6.8800000000000002E-6</v>
      </c>
      <c r="B151" s="22">
        <v>-3.210678359E-2</v>
      </c>
    </row>
    <row r="152" spans="1:2" x14ac:dyDescent="0.3">
      <c r="A152" s="22">
        <v>-6.8750000000000002E-6</v>
      </c>
      <c r="B152" s="22">
        <v>-3.5322863958000002E-2</v>
      </c>
    </row>
    <row r="153" spans="1:2" x14ac:dyDescent="0.3">
      <c r="A153" s="22">
        <v>-6.8700000000000003E-6</v>
      </c>
      <c r="B153" s="22">
        <v>-3.4518843866000001E-2</v>
      </c>
    </row>
    <row r="154" spans="1:2" x14ac:dyDescent="0.3">
      <c r="A154" s="22">
        <v>-6.8650000000000003E-6</v>
      </c>
      <c r="B154" s="22">
        <v>-3.4518843866000001E-2</v>
      </c>
    </row>
    <row r="155" spans="1:2" x14ac:dyDescent="0.3">
      <c r="A155" s="22">
        <v>-6.8600000000000004E-6</v>
      </c>
      <c r="B155" s="22">
        <v>-3.2910803682000001E-2</v>
      </c>
    </row>
    <row r="156" spans="1:2" x14ac:dyDescent="0.3">
      <c r="A156" s="22">
        <v>-6.8549999999999996E-6</v>
      </c>
      <c r="B156" s="22">
        <v>-3.3714823774000001E-2</v>
      </c>
    </row>
    <row r="157" spans="1:2" x14ac:dyDescent="0.3">
      <c r="A157" s="22">
        <v>-6.8499999999999996E-6</v>
      </c>
      <c r="B157" s="22">
        <v>-3.2910803682000001E-2</v>
      </c>
    </row>
    <row r="158" spans="1:2" x14ac:dyDescent="0.3">
      <c r="A158" s="22">
        <v>-6.8449999999999997E-6</v>
      </c>
      <c r="B158" s="22">
        <v>-3.4518843866000001E-2</v>
      </c>
    </row>
    <row r="159" spans="1:2" x14ac:dyDescent="0.3">
      <c r="A159" s="22">
        <v>-6.8399999999999997E-6</v>
      </c>
      <c r="B159" s="22">
        <v>-3.3714823774000001E-2</v>
      </c>
    </row>
    <row r="160" spans="1:2" x14ac:dyDescent="0.3">
      <c r="A160" s="22">
        <v>-6.8349999999999998E-6</v>
      </c>
      <c r="B160" s="22">
        <v>-3.6930904142000003E-2</v>
      </c>
    </row>
    <row r="161" spans="1:2" x14ac:dyDescent="0.3">
      <c r="A161" s="22">
        <v>-6.8299999999999998E-6</v>
      </c>
      <c r="B161" s="22">
        <v>-3.6126884050000002E-2</v>
      </c>
    </row>
    <row r="162" spans="1:2" x14ac:dyDescent="0.3">
      <c r="A162" s="22">
        <v>-6.8249999999999999E-6</v>
      </c>
      <c r="B162" s="22">
        <v>-3.0498743405999999E-2</v>
      </c>
    </row>
    <row r="163" spans="1:2" x14ac:dyDescent="0.3">
      <c r="A163" s="22">
        <v>-6.8199999999999999E-6</v>
      </c>
      <c r="B163" s="22">
        <v>-3.3714823774000001E-2</v>
      </c>
    </row>
    <row r="164" spans="1:2" x14ac:dyDescent="0.3">
      <c r="A164" s="22">
        <v>-6.815E-6</v>
      </c>
      <c r="B164" s="22">
        <v>-3.2910803682000001E-2</v>
      </c>
    </row>
    <row r="165" spans="1:2" x14ac:dyDescent="0.3">
      <c r="A165" s="22">
        <v>-6.81E-6</v>
      </c>
      <c r="B165" s="22">
        <v>-3.5322863958000002E-2</v>
      </c>
    </row>
    <row r="166" spans="1:2" x14ac:dyDescent="0.3">
      <c r="A166" s="22">
        <v>-6.8050000000000001E-6</v>
      </c>
      <c r="B166" s="22">
        <v>-3.5322863958000002E-2</v>
      </c>
    </row>
    <row r="167" spans="1:2" x14ac:dyDescent="0.3">
      <c r="A167" s="22">
        <v>-6.8000000000000001E-6</v>
      </c>
      <c r="B167" s="22">
        <v>-3.6930904142000003E-2</v>
      </c>
    </row>
    <row r="168" spans="1:2" x14ac:dyDescent="0.3">
      <c r="A168" s="22">
        <v>-6.7950000000000002E-6</v>
      </c>
      <c r="B168" s="22">
        <v>-3.3714823774000001E-2</v>
      </c>
    </row>
    <row r="169" spans="1:2" x14ac:dyDescent="0.3">
      <c r="A169" s="22">
        <v>-6.7900000000000002E-6</v>
      </c>
      <c r="B169" s="22">
        <v>-3.7734924232999997E-2</v>
      </c>
    </row>
    <row r="170" spans="1:2" x14ac:dyDescent="0.3">
      <c r="A170" s="22">
        <v>-6.7850000000000003E-6</v>
      </c>
      <c r="B170" s="22">
        <v>-3.4518843866000001E-2</v>
      </c>
    </row>
    <row r="171" spans="1:2" x14ac:dyDescent="0.3">
      <c r="A171" s="22">
        <v>-6.7800000000000003E-6</v>
      </c>
      <c r="B171" s="22">
        <v>-3.5322863958000002E-2</v>
      </c>
    </row>
    <row r="172" spans="1:2" x14ac:dyDescent="0.3">
      <c r="A172" s="22">
        <v>-6.7750000000000004E-6</v>
      </c>
      <c r="B172" s="22">
        <v>-3.6126884050000002E-2</v>
      </c>
    </row>
    <row r="173" spans="1:2" x14ac:dyDescent="0.3">
      <c r="A173" s="22">
        <v>-6.7700000000000004E-6</v>
      </c>
      <c r="B173" s="22">
        <v>-3.5322863958000002E-2</v>
      </c>
    </row>
    <row r="174" spans="1:2" x14ac:dyDescent="0.3">
      <c r="A174" s="22">
        <v>-6.7649999999999996E-6</v>
      </c>
      <c r="B174" s="22">
        <v>-3.3714823774000001E-2</v>
      </c>
    </row>
    <row r="175" spans="1:2" x14ac:dyDescent="0.3">
      <c r="A175" s="22">
        <v>-6.7599999999999997E-6</v>
      </c>
      <c r="B175" s="22">
        <v>-3.6930904142000003E-2</v>
      </c>
    </row>
    <row r="176" spans="1:2" x14ac:dyDescent="0.3">
      <c r="A176" s="22">
        <v>-6.7549999999999997E-6</v>
      </c>
      <c r="B176" s="22">
        <v>-3.3714823774000001E-2</v>
      </c>
    </row>
    <row r="177" spans="1:2" x14ac:dyDescent="0.3">
      <c r="A177" s="22">
        <v>-6.7499999999999997E-6</v>
      </c>
      <c r="B177" s="22">
        <v>-3.3714823774000001E-2</v>
      </c>
    </row>
    <row r="178" spans="1:2" x14ac:dyDescent="0.3">
      <c r="A178" s="22">
        <v>-6.7449999999999998E-6</v>
      </c>
      <c r="B178" s="22">
        <v>-3.5322863958000002E-2</v>
      </c>
    </row>
    <row r="179" spans="1:2" x14ac:dyDescent="0.3">
      <c r="A179" s="22">
        <v>-6.7399999999999998E-6</v>
      </c>
      <c r="B179" s="22">
        <v>-3.5322863958000002E-2</v>
      </c>
    </row>
    <row r="180" spans="1:2" x14ac:dyDescent="0.3">
      <c r="A180" s="22">
        <v>-6.7349999999999999E-6</v>
      </c>
      <c r="B180" s="22">
        <v>-3.4518843866000001E-2</v>
      </c>
    </row>
    <row r="181" spans="1:2" x14ac:dyDescent="0.3">
      <c r="A181" s="22">
        <v>-6.7299999999999999E-6</v>
      </c>
      <c r="B181" s="22">
        <v>-3.6930904142000003E-2</v>
      </c>
    </row>
    <row r="182" spans="1:2" x14ac:dyDescent="0.3">
      <c r="A182" s="22">
        <v>-6.725E-6</v>
      </c>
      <c r="B182" s="22">
        <v>-3.210678359E-2</v>
      </c>
    </row>
    <row r="183" spans="1:2" x14ac:dyDescent="0.3">
      <c r="A183" s="22">
        <v>-6.72E-6</v>
      </c>
      <c r="B183" s="22">
        <v>-3.6126884050000002E-2</v>
      </c>
    </row>
    <row r="184" spans="1:2" x14ac:dyDescent="0.3">
      <c r="A184" s="22">
        <v>-6.7150000000000001E-6</v>
      </c>
      <c r="B184" s="22">
        <v>-3.6126884050000002E-2</v>
      </c>
    </row>
    <row r="185" spans="1:2" x14ac:dyDescent="0.3">
      <c r="A185" s="22">
        <v>-6.7100000000000001E-6</v>
      </c>
      <c r="B185" s="22">
        <v>-3.6126884050000002E-2</v>
      </c>
    </row>
    <row r="186" spans="1:2" x14ac:dyDescent="0.3">
      <c r="A186" s="22">
        <v>-6.7050000000000002E-6</v>
      </c>
      <c r="B186" s="22">
        <v>-3.5322863958000002E-2</v>
      </c>
    </row>
    <row r="187" spans="1:2" x14ac:dyDescent="0.3">
      <c r="A187" s="22">
        <v>-6.7000000000000002E-6</v>
      </c>
      <c r="B187" s="22">
        <v>-3.6126884050000002E-2</v>
      </c>
    </row>
    <row r="188" spans="1:2" x14ac:dyDescent="0.3">
      <c r="A188" s="22">
        <v>-6.6950000000000003E-6</v>
      </c>
      <c r="B188" s="22">
        <v>-3.6930904142000003E-2</v>
      </c>
    </row>
    <row r="189" spans="1:2" x14ac:dyDescent="0.3">
      <c r="A189" s="22">
        <v>-6.6900000000000003E-6</v>
      </c>
      <c r="B189" s="22">
        <v>-3.5322863958000002E-2</v>
      </c>
    </row>
    <row r="190" spans="1:2" x14ac:dyDescent="0.3">
      <c r="A190" s="22">
        <v>-6.6850000000000004E-6</v>
      </c>
      <c r="B190" s="22">
        <v>-3.7734924234000003E-2</v>
      </c>
    </row>
    <row r="191" spans="1:2" x14ac:dyDescent="0.3">
      <c r="A191" s="22">
        <v>-6.6800000000000004E-6</v>
      </c>
      <c r="B191" s="22">
        <v>-3.210678359E-2</v>
      </c>
    </row>
    <row r="192" spans="1:2" x14ac:dyDescent="0.3">
      <c r="A192" s="22">
        <v>-6.6749999999999996E-6</v>
      </c>
      <c r="B192" s="22">
        <v>-3.210678359E-2</v>
      </c>
    </row>
    <row r="193" spans="1:2" x14ac:dyDescent="0.3">
      <c r="A193" s="22">
        <v>-6.6699999999999997E-6</v>
      </c>
      <c r="B193" s="22">
        <v>-3.210678359E-2</v>
      </c>
    </row>
    <row r="194" spans="1:2" x14ac:dyDescent="0.3">
      <c r="A194" s="22">
        <v>-6.6649999999999997E-6</v>
      </c>
      <c r="B194" s="22">
        <v>-3.1302763498E-2</v>
      </c>
    </row>
    <row r="195" spans="1:2" x14ac:dyDescent="0.3">
      <c r="A195" s="22">
        <v>-6.6599999999999998E-6</v>
      </c>
      <c r="B195" s="22">
        <v>-3.7734924234000003E-2</v>
      </c>
    </row>
    <row r="196" spans="1:2" x14ac:dyDescent="0.3">
      <c r="A196" s="22">
        <v>-6.6549999999999998E-6</v>
      </c>
      <c r="B196" s="22">
        <v>-3.6930904142000003E-2</v>
      </c>
    </row>
    <row r="197" spans="1:2" x14ac:dyDescent="0.3">
      <c r="A197" s="22">
        <v>-6.6499999999999999E-6</v>
      </c>
      <c r="B197" s="22">
        <v>-3.5322863958000002E-2</v>
      </c>
    </row>
    <row r="198" spans="1:2" x14ac:dyDescent="0.3">
      <c r="A198" s="22">
        <v>-6.6449999999999999E-6</v>
      </c>
      <c r="B198" s="22">
        <v>-3.6126884050000002E-2</v>
      </c>
    </row>
    <row r="199" spans="1:2" x14ac:dyDescent="0.3">
      <c r="A199" s="22">
        <v>-6.64E-6</v>
      </c>
      <c r="B199" s="22">
        <v>-3.7734924234000003E-2</v>
      </c>
    </row>
    <row r="200" spans="1:2" x14ac:dyDescent="0.3">
      <c r="A200" s="22">
        <v>-6.635E-6</v>
      </c>
      <c r="B200" s="22">
        <v>-3.2910803682000001E-2</v>
      </c>
    </row>
    <row r="201" spans="1:2" x14ac:dyDescent="0.3">
      <c r="A201" s="22">
        <v>-6.63E-6</v>
      </c>
      <c r="B201" s="22">
        <v>-3.3714823774000001E-2</v>
      </c>
    </row>
    <row r="202" spans="1:2" x14ac:dyDescent="0.3">
      <c r="A202" s="22">
        <v>-6.6250000000000001E-6</v>
      </c>
      <c r="B202" s="22">
        <v>-3.4518843866000001E-2</v>
      </c>
    </row>
    <row r="203" spans="1:2" x14ac:dyDescent="0.3">
      <c r="A203" s="22">
        <v>-6.6200000000000001E-6</v>
      </c>
      <c r="B203" s="22">
        <v>-3.6126884050000002E-2</v>
      </c>
    </row>
    <row r="204" spans="1:2" x14ac:dyDescent="0.3">
      <c r="A204" s="22">
        <v>-6.6150000000000002E-6</v>
      </c>
      <c r="B204" s="22">
        <v>-3.5322863958000002E-2</v>
      </c>
    </row>
    <row r="205" spans="1:2" x14ac:dyDescent="0.3">
      <c r="A205" s="22">
        <v>-6.6100000000000002E-6</v>
      </c>
      <c r="B205" s="22">
        <v>-3.3714823774000001E-2</v>
      </c>
    </row>
    <row r="206" spans="1:2" x14ac:dyDescent="0.3">
      <c r="A206" s="22">
        <v>-6.6050000000000003E-6</v>
      </c>
      <c r="B206" s="22">
        <v>-3.3714823774000001E-2</v>
      </c>
    </row>
    <row r="207" spans="1:2" x14ac:dyDescent="0.3">
      <c r="A207" s="22">
        <v>-6.6000000000000003E-6</v>
      </c>
      <c r="B207" s="22">
        <v>-3.2910803682000001E-2</v>
      </c>
    </row>
    <row r="208" spans="1:2" x14ac:dyDescent="0.3">
      <c r="A208" s="22">
        <v>-6.5950000000000004E-6</v>
      </c>
      <c r="B208" s="22">
        <v>-3.4518843866000001E-2</v>
      </c>
    </row>
    <row r="209" spans="1:2" x14ac:dyDescent="0.3">
      <c r="A209" s="22">
        <v>-6.5899999999999996E-6</v>
      </c>
      <c r="B209" s="22">
        <v>-3.2910803682000001E-2</v>
      </c>
    </row>
    <row r="210" spans="1:2" x14ac:dyDescent="0.3">
      <c r="A210" s="22">
        <v>-6.5849999999999996E-6</v>
      </c>
      <c r="B210" s="22">
        <v>-3.210678359E-2</v>
      </c>
    </row>
    <row r="211" spans="1:2" x14ac:dyDescent="0.3">
      <c r="A211" s="22">
        <v>-6.5799999999999997E-6</v>
      </c>
      <c r="B211" s="22">
        <v>-3.4518843866000001E-2</v>
      </c>
    </row>
    <row r="212" spans="1:2" x14ac:dyDescent="0.3">
      <c r="A212" s="22">
        <v>-6.5749999999999997E-6</v>
      </c>
      <c r="B212" s="22">
        <v>-3.1302763498E-2</v>
      </c>
    </row>
    <row r="213" spans="1:2" x14ac:dyDescent="0.3">
      <c r="A213" s="22">
        <v>-6.5699999999999998E-6</v>
      </c>
      <c r="B213" s="22">
        <v>-3.2910803682000001E-2</v>
      </c>
    </row>
    <row r="214" spans="1:2" x14ac:dyDescent="0.3">
      <c r="A214" s="22">
        <v>-6.5649999999999998E-6</v>
      </c>
      <c r="B214" s="22">
        <v>-3.3714823774000001E-2</v>
      </c>
    </row>
    <row r="215" spans="1:2" x14ac:dyDescent="0.3">
      <c r="A215" s="22">
        <v>-6.5599999999999999E-6</v>
      </c>
      <c r="B215" s="22">
        <v>-3.1302763498E-2</v>
      </c>
    </row>
    <row r="216" spans="1:2" x14ac:dyDescent="0.3">
      <c r="A216" s="22">
        <v>-6.5549999999999999E-6</v>
      </c>
      <c r="B216" s="22">
        <v>-3.1302763498E-2</v>
      </c>
    </row>
    <row r="217" spans="1:2" x14ac:dyDescent="0.3">
      <c r="A217" s="22">
        <v>-6.55E-6</v>
      </c>
      <c r="B217" s="22">
        <v>-3.5322863958000002E-2</v>
      </c>
    </row>
    <row r="218" spans="1:2" x14ac:dyDescent="0.3">
      <c r="A218" s="22">
        <v>-6.545E-6</v>
      </c>
      <c r="B218" s="22">
        <v>-3.2910803682000001E-2</v>
      </c>
    </row>
    <row r="219" spans="1:2" x14ac:dyDescent="0.3">
      <c r="A219" s="22">
        <v>-6.5400000000000001E-6</v>
      </c>
      <c r="B219" s="22">
        <v>-3.0498743405999999E-2</v>
      </c>
    </row>
    <row r="220" spans="1:2" x14ac:dyDescent="0.3">
      <c r="A220" s="22">
        <v>-6.5350000000000001E-6</v>
      </c>
      <c r="B220" s="22">
        <v>-3.2910803682000001E-2</v>
      </c>
    </row>
    <row r="221" spans="1:2" x14ac:dyDescent="0.3">
      <c r="A221" s="22">
        <v>-6.5300000000000002E-6</v>
      </c>
      <c r="B221" s="22">
        <v>-3.3714823774000001E-2</v>
      </c>
    </row>
    <row r="222" spans="1:2" x14ac:dyDescent="0.3">
      <c r="A222" s="22">
        <v>-6.5250000000000002E-6</v>
      </c>
      <c r="B222" s="22">
        <v>-3.3714823774000001E-2</v>
      </c>
    </row>
    <row r="223" spans="1:2" x14ac:dyDescent="0.3">
      <c r="A223" s="22">
        <v>-6.5200000000000003E-6</v>
      </c>
      <c r="B223" s="22">
        <v>-3.5322863958000002E-2</v>
      </c>
    </row>
    <row r="224" spans="1:2" x14ac:dyDescent="0.3">
      <c r="A224" s="22">
        <v>-6.5150000000000003E-6</v>
      </c>
      <c r="B224" s="22">
        <v>-3.1302763498E-2</v>
      </c>
    </row>
    <row r="225" spans="1:2" x14ac:dyDescent="0.3">
      <c r="A225" s="22">
        <v>-6.5100000000000004E-6</v>
      </c>
      <c r="B225" s="22">
        <v>-3.6126884050000002E-2</v>
      </c>
    </row>
    <row r="226" spans="1:2" x14ac:dyDescent="0.3">
      <c r="A226" s="22">
        <v>-6.5050000000000004E-6</v>
      </c>
      <c r="B226" s="22">
        <v>-3.210678359E-2</v>
      </c>
    </row>
    <row r="227" spans="1:2" x14ac:dyDescent="0.3">
      <c r="A227" s="22">
        <v>-6.4999999999999996E-6</v>
      </c>
      <c r="B227" s="22">
        <v>-3.3714823774000001E-2</v>
      </c>
    </row>
    <row r="228" spans="1:2" x14ac:dyDescent="0.3">
      <c r="A228" s="22">
        <v>-6.4949999999999996E-6</v>
      </c>
      <c r="B228" s="22">
        <v>-3.0498743405999999E-2</v>
      </c>
    </row>
    <row r="229" spans="1:2" x14ac:dyDescent="0.3">
      <c r="A229" s="22">
        <v>-6.4899999999999997E-6</v>
      </c>
      <c r="B229" s="22">
        <v>-3.4518843866000001E-2</v>
      </c>
    </row>
    <row r="230" spans="1:2" x14ac:dyDescent="0.3">
      <c r="A230" s="22">
        <v>-6.4849999999999997E-6</v>
      </c>
      <c r="B230" s="22">
        <v>-3.6930904142000003E-2</v>
      </c>
    </row>
    <row r="231" spans="1:2" x14ac:dyDescent="0.3">
      <c r="A231" s="22">
        <v>-6.4799999999999998E-6</v>
      </c>
      <c r="B231" s="22">
        <v>-3.5322863958000002E-2</v>
      </c>
    </row>
    <row r="232" spans="1:2" x14ac:dyDescent="0.3">
      <c r="A232" s="22">
        <v>-6.4749999999999998E-6</v>
      </c>
      <c r="B232" s="22">
        <v>-3.7734924234000003E-2</v>
      </c>
    </row>
    <row r="233" spans="1:2" x14ac:dyDescent="0.3">
      <c r="A233" s="22">
        <v>-6.4699999999999999E-6</v>
      </c>
      <c r="B233" s="22">
        <v>-3.4518843866000001E-2</v>
      </c>
    </row>
    <row r="234" spans="1:2" x14ac:dyDescent="0.3">
      <c r="A234" s="22">
        <v>-6.4649999999999999E-6</v>
      </c>
      <c r="B234" s="22">
        <v>-3.6126884050000002E-2</v>
      </c>
    </row>
    <row r="235" spans="1:2" x14ac:dyDescent="0.3">
      <c r="A235" s="22">
        <v>-6.46E-6</v>
      </c>
      <c r="B235" s="22">
        <v>-3.6930904142000003E-2</v>
      </c>
    </row>
    <row r="236" spans="1:2" x14ac:dyDescent="0.3">
      <c r="A236" s="22">
        <v>-6.455E-6</v>
      </c>
      <c r="B236" s="22">
        <v>-3.7734924234000003E-2</v>
      </c>
    </row>
    <row r="237" spans="1:2" x14ac:dyDescent="0.3">
      <c r="A237" s="22">
        <v>-6.4500000000000001E-6</v>
      </c>
      <c r="B237" s="22">
        <v>-3.6126884050000002E-2</v>
      </c>
    </row>
    <row r="238" spans="1:2" x14ac:dyDescent="0.3">
      <c r="A238" s="22">
        <v>-6.4450000000000001E-6</v>
      </c>
      <c r="B238" s="22">
        <v>-3.5322863958000002E-2</v>
      </c>
    </row>
    <row r="239" spans="1:2" x14ac:dyDescent="0.3">
      <c r="A239" s="22">
        <v>-6.4400000000000002E-6</v>
      </c>
      <c r="B239" s="22">
        <v>-3.6126884050000002E-2</v>
      </c>
    </row>
    <row r="240" spans="1:2" x14ac:dyDescent="0.3">
      <c r="A240" s="22">
        <v>-6.4350000000000002E-6</v>
      </c>
      <c r="B240" s="22">
        <v>-3.6126884050000002E-2</v>
      </c>
    </row>
    <row r="241" spans="1:2" x14ac:dyDescent="0.3">
      <c r="A241" s="22">
        <v>-6.4300000000000003E-6</v>
      </c>
      <c r="B241" s="22">
        <v>-3.5322863958000002E-2</v>
      </c>
    </row>
    <row r="242" spans="1:2" x14ac:dyDescent="0.3">
      <c r="A242" s="22">
        <v>-6.4250000000000003E-6</v>
      </c>
      <c r="B242" s="22">
        <v>-3.2910803682000001E-2</v>
      </c>
    </row>
    <row r="243" spans="1:2" x14ac:dyDescent="0.3">
      <c r="A243" s="22">
        <v>-6.4200000000000004E-6</v>
      </c>
      <c r="B243" s="22">
        <v>-3.6930904142000003E-2</v>
      </c>
    </row>
    <row r="244" spans="1:2" x14ac:dyDescent="0.3">
      <c r="A244" s="22">
        <v>-6.4150000000000004E-6</v>
      </c>
      <c r="B244" s="22">
        <v>-3.5322863958000002E-2</v>
      </c>
    </row>
    <row r="245" spans="1:2" x14ac:dyDescent="0.3">
      <c r="A245" s="22">
        <v>-6.4099999999999996E-6</v>
      </c>
      <c r="B245" s="22">
        <v>-3.6930904142000003E-2</v>
      </c>
    </row>
    <row r="246" spans="1:2" x14ac:dyDescent="0.3">
      <c r="A246" s="22">
        <v>-6.4049999999999997E-6</v>
      </c>
      <c r="B246" s="22">
        <v>-3.2910803682000001E-2</v>
      </c>
    </row>
    <row r="247" spans="1:2" x14ac:dyDescent="0.3">
      <c r="A247" s="22">
        <v>-6.3999999999999997E-6</v>
      </c>
      <c r="B247" s="22">
        <v>-3.6930904142000003E-2</v>
      </c>
    </row>
    <row r="248" spans="1:2" x14ac:dyDescent="0.3">
      <c r="A248" s="22">
        <v>-6.3949999999999998E-6</v>
      </c>
      <c r="B248" s="22">
        <v>-3.3714823774000001E-2</v>
      </c>
    </row>
    <row r="249" spans="1:2" x14ac:dyDescent="0.3">
      <c r="A249" s="22">
        <v>-6.3899999999999998E-6</v>
      </c>
      <c r="B249" s="22">
        <v>-3.6126884050000002E-2</v>
      </c>
    </row>
    <row r="250" spans="1:2" x14ac:dyDescent="0.3">
      <c r="A250" s="22">
        <v>-6.3849999999999999E-6</v>
      </c>
      <c r="B250" s="22">
        <v>-3.5322863958000002E-2</v>
      </c>
    </row>
    <row r="251" spans="1:2" x14ac:dyDescent="0.3">
      <c r="A251" s="22">
        <v>-6.3799999999999999E-6</v>
      </c>
      <c r="B251" s="22">
        <v>-3.3714823774000001E-2</v>
      </c>
    </row>
    <row r="252" spans="1:2" x14ac:dyDescent="0.3">
      <c r="A252" s="22">
        <v>-6.3749999999999999E-6</v>
      </c>
      <c r="B252" s="22">
        <v>-3.3714823774000001E-2</v>
      </c>
    </row>
    <row r="253" spans="1:2" x14ac:dyDescent="0.3">
      <c r="A253" s="22">
        <v>-6.37E-6</v>
      </c>
      <c r="B253" s="22">
        <v>-3.1302763498E-2</v>
      </c>
    </row>
    <row r="254" spans="1:2" x14ac:dyDescent="0.3">
      <c r="A254" s="22">
        <v>-6.365E-6</v>
      </c>
      <c r="B254" s="22">
        <v>-3.5322863958000002E-2</v>
      </c>
    </row>
    <row r="255" spans="1:2" x14ac:dyDescent="0.3">
      <c r="A255" s="22">
        <v>-6.3600000000000001E-6</v>
      </c>
      <c r="B255" s="22">
        <v>-3.2910803682000001E-2</v>
      </c>
    </row>
    <row r="256" spans="1:2" x14ac:dyDescent="0.3">
      <c r="A256" s="22">
        <v>-6.3550000000000001E-6</v>
      </c>
      <c r="B256" s="22">
        <v>-3.2910803682000001E-2</v>
      </c>
    </row>
    <row r="257" spans="1:2" x14ac:dyDescent="0.3">
      <c r="A257" s="22">
        <v>-6.3500000000000002E-6</v>
      </c>
      <c r="B257" s="22">
        <v>-3.0498743407000001E-2</v>
      </c>
    </row>
    <row r="258" spans="1:2" x14ac:dyDescent="0.3">
      <c r="A258" s="22">
        <v>-6.3450000000000002E-6</v>
      </c>
      <c r="B258" s="22">
        <v>-3.1302763498E-2</v>
      </c>
    </row>
    <row r="259" spans="1:2" x14ac:dyDescent="0.3">
      <c r="A259" s="22">
        <v>-6.3400000000000003E-6</v>
      </c>
      <c r="B259" s="22">
        <v>-3.5322863958000002E-2</v>
      </c>
    </row>
    <row r="260" spans="1:2" x14ac:dyDescent="0.3">
      <c r="A260" s="22">
        <v>-6.3350000000000003E-6</v>
      </c>
      <c r="B260" s="22">
        <v>-3.2910803682000001E-2</v>
      </c>
    </row>
    <row r="261" spans="1:2" x14ac:dyDescent="0.3">
      <c r="A261" s="22">
        <v>-6.3300000000000004E-6</v>
      </c>
      <c r="B261" s="22">
        <v>-3.3714823774000001E-2</v>
      </c>
    </row>
    <row r="262" spans="1:2" x14ac:dyDescent="0.3">
      <c r="A262" s="22">
        <v>-6.3249999999999996E-6</v>
      </c>
      <c r="B262" s="22">
        <v>-3.3714823774000001E-2</v>
      </c>
    </row>
    <row r="263" spans="1:2" x14ac:dyDescent="0.3">
      <c r="A263" s="22">
        <v>-6.3199999999999996E-6</v>
      </c>
      <c r="B263" s="22">
        <v>-3.2910803682000001E-2</v>
      </c>
    </row>
    <row r="264" spans="1:2" x14ac:dyDescent="0.3">
      <c r="A264" s="22">
        <v>-6.3149999999999997E-6</v>
      </c>
      <c r="B264" s="22">
        <v>-2.9694723315000001E-2</v>
      </c>
    </row>
    <row r="265" spans="1:2" x14ac:dyDescent="0.3">
      <c r="A265" s="22">
        <v>-6.3099999999999997E-6</v>
      </c>
      <c r="B265" s="22">
        <v>-3.2910803682000001E-2</v>
      </c>
    </row>
    <row r="266" spans="1:2" x14ac:dyDescent="0.3">
      <c r="A266" s="22">
        <v>-6.3049999999999998E-6</v>
      </c>
      <c r="B266" s="22">
        <v>-3.6126884050000002E-2</v>
      </c>
    </row>
    <row r="267" spans="1:2" x14ac:dyDescent="0.3">
      <c r="A267" s="22">
        <v>-6.2999999999999998E-6</v>
      </c>
      <c r="B267" s="22">
        <v>-3.4518843866000001E-2</v>
      </c>
    </row>
    <row r="268" spans="1:2" x14ac:dyDescent="0.3">
      <c r="A268" s="22">
        <v>-6.2949999999999999E-6</v>
      </c>
      <c r="B268" s="22">
        <v>-3.4518843866000001E-2</v>
      </c>
    </row>
    <row r="269" spans="1:2" x14ac:dyDescent="0.3">
      <c r="A269" s="22">
        <v>-6.2899999999999999E-6</v>
      </c>
      <c r="B269" s="22">
        <v>-3.5322863958000002E-2</v>
      </c>
    </row>
    <row r="270" spans="1:2" x14ac:dyDescent="0.3">
      <c r="A270" s="22">
        <v>-6.285E-6</v>
      </c>
      <c r="B270" s="22">
        <v>-3.4518843866000001E-2</v>
      </c>
    </row>
    <row r="271" spans="1:2" x14ac:dyDescent="0.3">
      <c r="A271" s="22">
        <v>-6.28E-6</v>
      </c>
      <c r="B271" s="22">
        <v>-3.3714823774000001E-2</v>
      </c>
    </row>
    <row r="272" spans="1:2" x14ac:dyDescent="0.3">
      <c r="A272" s="22">
        <v>-6.2750000000000001E-6</v>
      </c>
      <c r="B272" s="22">
        <v>-3.3714823774000001E-2</v>
      </c>
    </row>
    <row r="273" spans="1:2" x14ac:dyDescent="0.3">
      <c r="A273" s="22">
        <v>-6.2700000000000001E-6</v>
      </c>
      <c r="B273" s="22">
        <v>-3.4518843866000001E-2</v>
      </c>
    </row>
    <row r="274" spans="1:2" x14ac:dyDescent="0.3">
      <c r="A274" s="22">
        <v>-6.2650000000000002E-6</v>
      </c>
      <c r="B274" s="22">
        <v>-3.6930904142000003E-2</v>
      </c>
    </row>
    <row r="275" spans="1:2" x14ac:dyDescent="0.3">
      <c r="A275" s="22">
        <v>-6.2600000000000002E-6</v>
      </c>
      <c r="B275" s="22">
        <v>-3.4518843866000001E-2</v>
      </c>
    </row>
    <row r="276" spans="1:2" x14ac:dyDescent="0.3">
      <c r="A276" s="22">
        <v>-6.2550000000000003E-6</v>
      </c>
      <c r="B276" s="22">
        <v>-3.210678359E-2</v>
      </c>
    </row>
    <row r="277" spans="1:2" x14ac:dyDescent="0.3">
      <c r="A277" s="22">
        <v>-6.2500000000000003E-6</v>
      </c>
      <c r="B277" s="22">
        <v>-3.5322863958000002E-2</v>
      </c>
    </row>
    <row r="278" spans="1:2" x14ac:dyDescent="0.3">
      <c r="A278" s="22">
        <v>-6.2450000000000003E-6</v>
      </c>
      <c r="B278" s="22">
        <v>-3.5322863958000002E-2</v>
      </c>
    </row>
    <row r="279" spans="1:2" x14ac:dyDescent="0.3">
      <c r="A279" s="22">
        <v>-6.2400000000000004E-6</v>
      </c>
      <c r="B279" s="22">
        <v>-3.5322863958000002E-2</v>
      </c>
    </row>
    <row r="280" spans="1:2" x14ac:dyDescent="0.3">
      <c r="A280" s="22">
        <v>-6.2349999999999996E-6</v>
      </c>
      <c r="B280" s="22">
        <v>-3.4518843866000001E-2</v>
      </c>
    </row>
    <row r="281" spans="1:2" x14ac:dyDescent="0.3">
      <c r="A281" s="22">
        <v>-6.2299999999999996E-6</v>
      </c>
      <c r="B281" s="22">
        <v>-3.5322863958000002E-2</v>
      </c>
    </row>
    <row r="282" spans="1:2" x14ac:dyDescent="0.3">
      <c r="A282" s="22">
        <v>-6.2249999999999997E-6</v>
      </c>
      <c r="B282" s="22">
        <v>-3.3714823774000001E-2</v>
      </c>
    </row>
    <row r="283" spans="1:2" x14ac:dyDescent="0.3">
      <c r="A283" s="22">
        <v>-6.2199999999999997E-6</v>
      </c>
      <c r="B283" s="22">
        <v>-3.7734924232999997E-2</v>
      </c>
    </row>
    <row r="284" spans="1:2" x14ac:dyDescent="0.3">
      <c r="A284" s="22">
        <v>-6.2149999999999998E-6</v>
      </c>
      <c r="B284" s="22">
        <v>-3.3714823774000001E-2</v>
      </c>
    </row>
    <row r="285" spans="1:2" x14ac:dyDescent="0.3">
      <c r="A285" s="22">
        <v>-6.2099999999999998E-6</v>
      </c>
      <c r="B285" s="22">
        <v>-3.2910803682000001E-2</v>
      </c>
    </row>
    <row r="286" spans="1:2" x14ac:dyDescent="0.3">
      <c r="A286" s="22">
        <v>-6.2049999999999999E-6</v>
      </c>
      <c r="B286" s="22">
        <v>-3.4518843866000001E-2</v>
      </c>
    </row>
    <row r="287" spans="1:2" x14ac:dyDescent="0.3">
      <c r="A287" s="22">
        <v>-6.1999999999999999E-6</v>
      </c>
      <c r="B287" s="22">
        <v>-3.4518843866000001E-2</v>
      </c>
    </row>
    <row r="288" spans="1:2" x14ac:dyDescent="0.3">
      <c r="A288" s="22">
        <v>-6.195E-6</v>
      </c>
      <c r="B288" s="22">
        <v>-3.3714823774000001E-2</v>
      </c>
    </row>
    <row r="289" spans="1:2" x14ac:dyDescent="0.3">
      <c r="A289" s="22">
        <v>-6.19E-6</v>
      </c>
      <c r="B289" s="22">
        <v>-3.4518843866000001E-2</v>
      </c>
    </row>
    <row r="290" spans="1:2" x14ac:dyDescent="0.3">
      <c r="A290" s="22">
        <v>-6.1850000000000001E-6</v>
      </c>
      <c r="B290" s="22">
        <v>-3.7734924232999997E-2</v>
      </c>
    </row>
    <row r="291" spans="1:2" x14ac:dyDescent="0.3">
      <c r="A291" s="22">
        <v>-6.1800000000000001E-6</v>
      </c>
      <c r="B291" s="22">
        <v>-3.1302763498E-2</v>
      </c>
    </row>
    <row r="292" spans="1:2" x14ac:dyDescent="0.3">
      <c r="A292" s="22">
        <v>-6.1750000000000002E-6</v>
      </c>
      <c r="B292" s="22">
        <v>-3.6930904142000003E-2</v>
      </c>
    </row>
    <row r="293" spans="1:2" x14ac:dyDescent="0.3">
      <c r="A293" s="22">
        <v>-6.1700000000000002E-6</v>
      </c>
      <c r="B293" s="22">
        <v>-3.3714823774000001E-2</v>
      </c>
    </row>
    <row r="294" spans="1:2" x14ac:dyDescent="0.3">
      <c r="A294" s="22">
        <v>-6.1650000000000003E-6</v>
      </c>
      <c r="B294" s="22">
        <v>-3.6930904142000003E-2</v>
      </c>
    </row>
    <row r="295" spans="1:2" x14ac:dyDescent="0.3">
      <c r="A295" s="22">
        <v>-6.1600000000000003E-6</v>
      </c>
      <c r="B295" s="22">
        <v>-3.7734924234000003E-2</v>
      </c>
    </row>
    <row r="296" spans="1:2" x14ac:dyDescent="0.3">
      <c r="A296" s="22">
        <v>-6.1550000000000004E-6</v>
      </c>
      <c r="B296" s="22">
        <v>-3.1302763498E-2</v>
      </c>
    </row>
    <row r="297" spans="1:2" x14ac:dyDescent="0.3">
      <c r="A297" s="22">
        <v>-6.1500000000000004E-6</v>
      </c>
      <c r="B297" s="22">
        <v>-3.0498743407000001E-2</v>
      </c>
    </row>
    <row r="298" spans="1:2" x14ac:dyDescent="0.3">
      <c r="A298" s="22">
        <v>-6.1449999999999996E-6</v>
      </c>
      <c r="B298" s="22">
        <v>-3.4518843866000001E-2</v>
      </c>
    </row>
    <row r="299" spans="1:2" x14ac:dyDescent="0.3">
      <c r="A299" s="22">
        <v>-6.1399999999999997E-6</v>
      </c>
      <c r="B299" s="22">
        <v>-3.3714823774000001E-2</v>
      </c>
    </row>
    <row r="300" spans="1:2" x14ac:dyDescent="0.3">
      <c r="A300" s="22">
        <v>-6.1349999999999997E-6</v>
      </c>
      <c r="B300" s="22">
        <v>-3.6126884050000002E-2</v>
      </c>
    </row>
    <row r="301" spans="1:2" x14ac:dyDescent="0.3">
      <c r="A301" s="22">
        <v>-6.1299999999999998E-6</v>
      </c>
      <c r="B301" s="22">
        <v>-3.6930904142000003E-2</v>
      </c>
    </row>
    <row r="302" spans="1:2" x14ac:dyDescent="0.3">
      <c r="A302" s="22">
        <v>-6.1249999999999998E-6</v>
      </c>
      <c r="B302" s="22">
        <v>-3.4518843866000001E-2</v>
      </c>
    </row>
    <row r="303" spans="1:2" x14ac:dyDescent="0.3">
      <c r="A303" s="22">
        <v>-6.1199999999999999E-6</v>
      </c>
      <c r="B303" s="22">
        <v>-3.5322863958000002E-2</v>
      </c>
    </row>
    <row r="304" spans="1:2" x14ac:dyDescent="0.3">
      <c r="A304" s="22">
        <v>-6.1149999999999999E-6</v>
      </c>
      <c r="B304" s="22">
        <v>-3.6126884050000002E-2</v>
      </c>
    </row>
    <row r="305" spans="1:2" x14ac:dyDescent="0.3">
      <c r="A305" s="22">
        <v>-6.1099999999999999E-6</v>
      </c>
      <c r="B305" s="22">
        <v>-3.4518843866000001E-2</v>
      </c>
    </row>
    <row r="306" spans="1:2" x14ac:dyDescent="0.3">
      <c r="A306" s="22">
        <v>-6.105E-6</v>
      </c>
      <c r="B306" s="22">
        <v>-3.210678359E-2</v>
      </c>
    </row>
    <row r="307" spans="1:2" x14ac:dyDescent="0.3">
      <c r="A307" s="22">
        <v>-6.1E-6</v>
      </c>
      <c r="B307" s="22">
        <v>-3.3714823774000001E-2</v>
      </c>
    </row>
    <row r="308" spans="1:2" x14ac:dyDescent="0.3">
      <c r="A308" s="22">
        <v>-6.0950000000000001E-6</v>
      </c>
      <c r="B308" s="22">
        <v>-3.3714823774000001E-2</v>
      </c>
    </row>
    <row r="309" spans="1:2" x14ac:dyDescent="0.3">
      <c r="A309" s="22">
        <v>-6.0900000000000001E-6</v>
      </c>
      <c r="B309" s="22">
        <v>-3.6126884050000002E-2</v>
      </c>
    </row>
    <row r="310" spans="1:2" x14ac:dyDescent="0.3">
      <c r="A310" s="22">
        <v>-6.0850000000000002E-6</v>
      </c>
      <c r="B310" s="22">
        <v>-3.6126884050000002E-2</v>
      </c>
    </row>
    <row r="311" spans="1:2" x14ac:dyDescent="0.3">
      <c r="A311" s="22">
        <v>-6.0800000000000002E-6</v>
      </c>
      <c r="B311" s="22">
        <v>-3.5322863958000002E-2</v>
      </c>
    </row>
    <row r="312" spans="1:2" x14ac:dyDescent="0.3">
      <c r="A312" s="22">
        <v>-6.0750000000000003E-6</v>
      </c>
      <c r="B312" s="22">
        <v>-3.5322863958000002E-2</v>
      </c>
    </row>
    <row r="313" spans="1:2" x14ac:dyDescent="0.3">
      <c r="A313" s="22">
        <v>-6.0700000000000003E-6</v>
      </c>
      <c r="B313" s="22">
        <v>-3.3714823774000001E-2</v>
      </c>
    </row>
    <row r="314" spans="1:2" x14ac:dyDescent="0.3">
      <c r="A314" s="22">
        <v>-6.0650000000000004E-6</v>
      </c>
      <c r="B314" s="22">
        <v>-3.4518843866000001E-2</v>
      </c>
    </row>
    <row r="315" spans="1:2" x14ac:dyDescent="0.3">
      <c r="A315" s="22">
        <v>-6.0599999999999996E-6</v>
      </c>
      <c r="B315" s="22">
        <v>-3.4518843866000001E-2</v>
      </c>
    </row>
    <row r="316" spans="1:2" x14ac:dyDescent="0.3">
      <c r="A316" s="22">
        <v>-6.0549999999999996E-6</v>
      </c>
      <c r="B316" s="22">
        <v>-3.2910803682000001E-2</v>
      </c>
    </row>
    <row r="317" spans="1:2" x14ac:dyDescent="0.3">
      <c r="A317" s="22">
        <v>-6.0499999999999997E-6</v>
      </c>
      <c r="B317" s="22">
        <v>-3.3714823774000001E-2</v>
      </c>
    </row>
    <row r="318" spans="1:2" x14ac:dyDescent="0.3">
      <c r="A318" s="22">
        <v>-6.0449999999999997E-6</v>
      </c>
      <c r="B318" s="22">
        <v>-3.2910803682000001E-2</v>
      </c>
    </row>
    <row r="319" spans="1:2" x14ac:dyDescent="0.3">
      <c r="A319" s="22">
        <v>-6.0399999999999998E-6</v>
      </c>
      <c r="B319" s="22">
        <v>-3.6126884050000002E-2</v>
      </c>
    </row>
    <row r="320" spans="1:2" x14ac:dyDescent="0.3">
      <c r="A320" s="22">
        <v>-6.0349999999999998E-6</v>
      </c>
      <c r="B320" s="22">
        <v>-3.4518843866000001E-2</v>
      </c>
    </row>
    <row r="321" spans="1:2" x14ac:dyDescent="0.3">
      <c r="A321" s="22">
        <v>-6.0299999999999999E-6</v>
      </c>
      <c r="B321" s="22">
        <v>-3.2910803682000001E-2</v>
      </c>
    </row>
    <row r="322" spans="1:2" x14ac:dyDescent="0.3">
      <c r="A322" s="22">
        <v>-6.0249999999999999E-6</v>
      </c>
      <c r="B322" s="22">
        <v>-3.3714823774000001E-2</v>
      </c>
    </row>
    <row r="323" spans="1:2" x14ac:dyDescent="0.3">
      <c r="A323" s="22">
        <v>-6.02E-6</v>
      </c>
      <c r="B323" s="22">
        <v>-3.6126884050000002E-2</v>
      </c>
    </row>
    <row r="324" spans="1:2" x14ac:dyDescent="0.3">
      <c r="A324" s="22">
        <v>-6.015E-6</v>
      </c>
      <c r="B324" s="22">
        <v>-3.5322863958000002E-2</v>
      </c>
    </row>
    <row r="325" spans="1:2" x14ac:dyDescent="0.3">
      <c r="A325" s="22">
        <v>-6.0100000000000001E-6</v>
      </c>
      <c r="B325" s="22">
        <v>-3.4518843866000001E-2</v>
      </c>
    </row>
    <row r="326" spans="1:2" x14ac:dyDescent="0.3">
      <c r="A326" s="22">
        <v>-6.0050000000000001E-6</v>
      </c>
      <c r="B326" s="22">
        <v>-3.4518843866000001E-2</v>
      </c>
    </row>
    <row r="327" spans="1:2" x14ac:dyDescent="0.3">
      <c r="A327" s="22">
        <v>-6.0000000000000002E-6</v>
      </c>
      <c r="B327" s="22">
        <v>-3.210678359E-2</v>
      </c>
    </row>
    <row r="328" spans="1:2" x14ac:dyDescent="0.3">
      <c r="A328" s="22">
        <v>-5.9950000000000002E-6</v>
      </c>
      <c r="B328" s="22">
        <v>-3.1302763498E-2</v>
      </c>
    </row>
    <row r="329" spans="1:2" x14ac:dyDescent="0.3">
      <c r="A329" s="22">
        <v>-5.9900000000000002E-6</v>
      </c>
      <c r="B329" s="22">
        <v>-3.2910803682000001E-2</v>
      </c>
    </row>
    <row r="330" spans="1:2" x14ac:dyDescent="0.3">
      <c r="A330" s="22">
        <v>-5.9850000000000003E-6</v>
      </c>
      <c r="B330" s="22">
        <v>-3.1302763498E-2</v>
      </c>
    </row>
    <row r="331" spans="1:2" x14ac:dyDescent="0.3">
      <c r="A331" s="22">
        <v>-5.9800000000000003E-6</v>
      </c>
      <c r="B331" s="22">
        <v>-3.5322863958000002E-2</v>
      </c>
    </row>
    <row r="332" spans="1:2" x14ac:dyDescent="0.3">
      <c r="A332" s="22">
        <v>-5.9750000000000004E-6</v>
      </c>
      <c r="B332" s="22">
        <v>-3.5322863958000002E-2</v>
      </c>
    </row>
    <row r="333" spans="1:2" x14ac:dyDescent="0.3">
      <c r="A333" s="22">
        <v>-5.9699999999999996E-6</v>
      </c>
      <c r="B333" s="22">
        <v>-3.3714823774000001E-2</v>
      </c>
    </row>
    <row r="334" spans="1:2" x14ac:dyDescent="0.3">
      <c r="A334" s="22">
        <v>-5.9649999999999996E-6</v>
      </c>
      <c r="B334" s="22">
        <v>-3.3714823774000001E-2</v>
      </c>
    </row>
    <row r="335" spans="1:2" x14ac:dyDescent="0.3">
      <c r="A335" s="22">
        <v>-5.9599999999999997E-6</v>
      </c>
      <c r="B335" s="22">
        <v>-3.2910803682000001E-2</v>
      </c>
    </row>
    <row r="336" spans="1:2" x14ac:dyDescent="0.3">
      <c r="A336" s="22">
        <v>-5.9549999999999997E-6</v>
      </c>
      <c r="B336" s="22">
        <v>-3.210678359E-2</v>
      </c>
    </row>
    <row r="337" spans="1:2" x14ac:dyDescent="0.3">
      <c r="A337" s="22">
        <v>-5.9499999999999998E-6</v>
      </c>
      <c r="B337" s="22">
        <v>-3.5322863958000002E-2</v>
      </c>
    </row>
    <row r="338" spans="1:2" x14ac:dyDescent="0.3">
      <c r="A338" s="22">
        <v>-5.9449999999999998E-6</v>
      </c>
      <c r="B338" s="22">
        <v>-3.4518843866000001E-2</v>
      </c>
    </row>
    <row r="339" spans="1:2" x14ac:dyDescent="0.3">
      <c r="A339" s="22">
        <v>-5.9399999999999999E-6</v>
      </c>
      <c r="B339" s="22">
        <v>-3.5322863958000002E-2</v>
      </c>
    </row>
    <row r="340" spans="1:2" x14ac:dyDescent="0.3">
      <c r="A340" s="22">
        <v>-5.9349999999999999E-6</v>
      </c>
      <c r="B340" s="22">
        <v>-3.4518843866000001E-2</v>
      </c>
    </row>
    <row r="341" spans="1:2" x14ac:dyDescent="0.3">
      <c r="A341" s="22">
        <v>-5.93E-6</v>
      </c>
      <c r="B341" s="22">
        <v>-3.4518843866000001E-2</v>
      </c>
    </row>
    <row r="342" spans="1:2" x14ac:dyDescent="0.3">
      <c r="A342" s="22">
        <v>-5.925E-6</v>
      </c>
      <c r="B342" s="22">
        <v>-3.4518843866000001E-2</v>
      </c>
    </row>
    <row r="343" spans="1:2" x14ac:dyDescent="0.3">
      <c r="A343" s="22">
        <v>-5.9200000000000001E-6</v>
      </c>
      <c r="B343" s="22">
        <v>-3.3714823774000001E-2</v>
      </c>
    </row>
    <row r="344" spans="1:2" x14ac:dyDescent="0.3">
      <c r="A344" s="22">
        <v>-5.9150000000000001E-6</v>
      </c>
      <c r="B344" s="22">
        <v>-3.9342964416999998E-2</v>
      </c>
    </row>
    <row r="345" spans="1:2" x14ac:dyDescent="0.3">
      <c r="A345" s="22">
        <v>-5.9100000000000002E-6</v>
      </c>
      <c r="B345" s="22">
        <v>-3.7734924232999997E-2</v>
      </c>
    </row>
    <row r="346" spans="1:2" x14ac:dyDescent="0.3">
      <c r="A346" s="22">
        <v>-5.9050000000000002E-6</v>
      </c>
      <c r="B346" s="22">
        <v>-3.4518843866000001E-2</v>
      </c>
    </row>
    <row r="347" spans="1:2" x14ac:dyDescent="0.3">
      <c r="A347" s="22">
        <v>-5.9000000000000003E-6</v>
      </c>
      <c r="B347" s="22">
        <v>-3.4518843866000001E-2</v>
      </c>
    </row>
    <row r="348" spans="1:2" x14ac:dyDescent="0.3">
      <c r="A348" s="22">
        <v>-5.8950000000000003E-6</v>
      </c>
      <c r="B348" s="22">
        <v>-3.4518843866000001E-2</v>
      </c>
    </row>
    <row r="349" spans="1:2" x14ac:dyDescent="0.3">
      <c r="A349" s="22">
        <v>-5.8900000000000004E-6</v>
      </c>
      <c r="B349" s="22">
        <v>-3.6126884050000002E-2</v>
      </c>
    </row>
    <row r="350" spans="1:2" x14ac:dyDescent="0.3">
      <c r="A350" s="22">
        <v>-5.8850000000000004E-6</v>
      </c>
      <c r="B350" s="22">
        <v>-3.5322863958000002E-2</v>
      </c>
    </row>
    <row r="351" spans="1:2" x14ac:dyDescent="0.3">
      <c r="A351" s="22">
        <v>-5.8799999999999996E-6</v>
      </c>
      <c r="B351" s="22">
        <v>-3.4518843866000001E-2</v>
      </c>
    </row>
    <row r="352" spans="1:2" x14ac:dyDescent="0.3">
      <c r="A352" s="22">
        <v>-5.8749999999999997E-6</v>
      </c>
      <c r="B352" s="22">
        <v>-3.5322863958000002E-2</v>
      </c>
    </row>
    <row r="353" spans="1:2" x14ac:dyDescent="0.3">
      <c r="A353" s="22">
        <v>-5.8699999999999997E-6</v>
      </c>
      <c r="B353" s="22">
        <v>-3.7734924234000003E-2</v>
      </c>
    </row>
    <row r="354" spans="1:2" x14ac:dyDescent="0.3">
      <c r="A354" s="22">
        <v>-5.8649999999999998E-6</v>
      </c>
      <c r="B354" s="22">
        <v>-3.4518843866000001E-2</v>
      </c>
    </row>
    <row r="355" spans="1:2" x14ac:dyDescent="0.3">
      <c r="A355" s="22">
        <v>-5.8599999999999998E-6</v>
      </c>
      <c r="B355" s="22">
        <v>-3.6126884050000002E-2</v>
      </c>
    </row>
    <row r="356" spans="1:2" x14ac:dyDescent="0.3">
      <c r="A356" s="22">
        <v>-5.8549999999999998E-6</v>
      </c>
      <c r="B356" s="22">
        <v>-3.6126884050000002E-2</v>
      </c>
    </row>
    <row r="357" spans="1:2" x14ac:dyDescent="0.3">
      <c r="A357" s="22">
        <v>-5.8499999999999999E-6</v>
      </c>
      <c r="B357" s="22">
        <v>-3.3714823774000001E-2</v>
      </c>
    </row>
    <row r="358" spans="1:2" x14ac:dyDescent="0.3">
      <c r="A358" s="22">
        <v>-5.8449999999999999E-6</v>
      </c>
      <c r="B358" s="22">
        <v>-3.4518843866000001E-2</v>
      </c>
    </row>
    <row r="359" spans="1:2" x14ac:dyDescent="0.3">
      <c r="A359" s="22">
        <v>-5.84E-6</v>
      </c>
      <c r="B359" s="22">
        <v>-3.6126884050000002E-2</v>
      </c>
    </row>
    <row r="360" spans="1:2" x14ac:dyDescent="0.3">
      <c r="A360" s="22">
        <v>-5.835E-6</v>
      </c>
      <c r="B360" s="22">
        <v>-3.2910803682000001E-2</v>
      </c>
    </row>
    <row r="361" spans="1:2" x14ac:dyDescent="0.3">
      <c r="A361" s="22">
        <v>-5.8300000000000001E-6</v>
      </c>
      <c r="B361" s="22">
        <v>-3.4518843866000001E-2</v>
      </c>
    </row>
    <row r="362" spans="1:2" x14ac:dyDescent="0.3">
      <c r="A362" s="22">
        <v>-5.8250000000000001E-6</v>
      </c>
      <c r="B362" s="22">
        <v>-3.7734924234000003E-2</v>
      </c>
    </row>
    <row r="363" spans="1:2" x14ac:dyDescent="0.3">
      <c r="A363" s="22">
        <v>-5.8200000000000002E-6</v>
      </c>
      <c r="B363" s="22">
        <v>-3.210678359E-2</v>
      </c>
    </row>
    <row r="364" spans="1:2" x14ac:dyDescent="0.3">
      <c r="A364" s="22">
        <v>-5.8150000000000002E-6</v>
      </c>
      <c r="B364" s="22">
        <v>-3.8538944324999998E-2</v>
      </c>
    </row>
    <row r="365" spans="1:2" x14ac:dyDescent="0.3">
      <c r="A365" s="22">
        <v>-5.8100000000000003E-6</v>
      </c>
      <c r="B365" s="22">
        <v>-3.6126884050000002E-2</v>
      </c>
    </row>
    <row r="366" spans="1:2" x14ac:dyDescent="0.3">
      <c r="A366" s="22">
        <v>-5.8050000000000003E-6</v>
      </c>
      <c r="B366" s="22">
        <v>-3.210678359E-2</v>
      </c>
    </row>
    <row r="367" spans="1:2" x14ac:dyDescent="0.3">
      <c r="A367" s="22">
        <v>-5.8000000000000004E-6</v>
      </c>
      <c r="B367" s="22">
        <v>-3.2910803682000001E-2</v>
      </c>
    </row>
    <row r="368" spans="1:2" x14ac:dyDescent="0.3">
      <c r="A368" s="22">
        <v>-5.7950000000000004E-6</v>
      </c>
      <c r="B368" s="22">
        <v>-3.7734924232999997E-2</v>
      </c>
    </row>
    <row r="369" spans="1:2" x14ac:dyDescent="0.3">
      <c r="A369" s="22">
        <v>-5.7899999999999996E-6</v>
      </c>
      <c r="B369" s="22">
        <v>-3.6126884050000002E-2</v>
      </c>
    </row>
    <row r="370" spans="1:2" x14ac:dyDescent="0.3">
      <c r="A370" s="22">
        <v>-5.7849999999999997E-6</v>
      </c>
      <c r="B370" s="22">
        <v>-3.2910803682000001E-2</v>
      </c>
    </row>
    <row r="371" spans="1:2" x14ac:dyDescent="0.3">
      <c r="A371" s="22">
        <v>-5.7799999999999997E-6</v>
      </c>
      <c r="B371" s="22">
        <v>-3.4518843866000001E-2</v>
      </c>
    </row>
    <row r="372" spans="1:2" x14ac:dyDescent="0.3">
      <c r="A372" s="22">
        <v>-5.7749999999999998E-6</v>
      </c>
      <c r="B372" s="22">
        <v>-3.4518843866000001E-2</v>
      </c>
    </row>
    <row r="373" spans="1:2" x14ac:dyDescent="0.3">
      <c r="A373" s="22">
        <v>-5.7699999999999998E-6</v>
      </c>
      <c r="B373" s="22">
        <v>-3.6126884050000002E-2</v>
      </c>
    </row>
    <row r="374" spans="1:2" x14ac:dyDescent="0.3">
      <c r="A374" s="22">
        <v>-5.7649999999999999E-6</v>
      </c>
      <c r="B374" s="22">
        <v>-3.5322863958000002E-2</v>
      </c>
    </row>
    <row r="375" spans="1:2" x14ac:dyDescent="0.3">
      <c r="A375" s="22">
        <v>-5.7599999999999999E-6</v>
      </c>
      <c r="B375" s="22">
        <v>-3.6126884050000002E-2</v>
      </c>
    </row>
    <row r="376" spans="1:2" x14ac:dyDescent="0.3">
      <c r="A376" s="22">
        <v>-5.755E-6</v>
      </c>
      <c r="B376" s="22">
        <v>-3.3714823774000001E-2</v>
      </c>
    </row>
    <row r="377" spans="1:2" x14ac:dyDescent="0.3">
      <c r="A377" s="22">
        <v>-5.75E-6</v>
      </c>
      <c r="B377" s="22">
        <v>-3.4518843866000001E-2</v>
      </c>
    </row>
    <row r="378" spans="1:2" x14ac:dyDescent="0.3">
      <c r="A378" s="22">
        <v>-5.7450000000000001E-6</v>
      </c>
      <c r="B378" s="22">
        <v>-3.5322863958000002E-2</v>
      </c>
    </row>
    <row r="379" spans="1:2" x14ac:dyDescent="0.3">
      <c r="A379" s="22">
        <v>-5.7400000000000001E-6</v>
      </c>
      <c r="B379" s="22">
        <v>-3.3714823774000001E-2</v>
      </c>
    </row>
    <row r="380" spans="1:2" x14ac:dyDescent="0.3">
      <c r="A380" s="22">
        <v>-5.7350000000000001E-6</v>
      </c>
      <c r="B380" s="22">
        <v>-3.4518843866000001E-2</v>
      </c>
    </row>
    <row r="381" spans="1:2" x14ac:dyDescent="0.3">
      <c r="A381" s="22">
        <v>-5.7300000000000002E-6</v>
      </c>
      <c r="B381" s="22">
        <v>-3.210678359E-2</v>
      </c>
    </row>
    <row r="382" spans="1:2" x14ac:dyDescent="0.3">
      <c r="A382" s="22">
        <v>-5.7250000000000002E-6</v>
      </c>
      <c r="B382" s="22">
        <v>-3.4518843866000001E-2</v>
      </c>
    </row>
    <row r="383" spans="1:2" x14ac:dyDescent="0.3">
      <c r="A383" s="22">
        <v>-5.7200000000000003E-6</v>
      </c>
      <c r="B383" s="22">
        <v>-3.5322863958000002E-2</v>
      </c>
    </row>
    <row r="384" spans="1:2" x14ac:dyDescent="0.3">
      <c r="A384" s="22">
        <v>-5.7150000000000003E-6</v>
      </c>
      <c r="B384" s="22">
        <v>-2.9694723315000001E-2</v>
      </c>
    </row>
    <row r="385" spans="1:2" x14ac:dyDescent="0.3">
      <c r="A385" s="22">
        <v>-5.7100000000000004E-6</v>
      </c>
      <c r="B385" s="22">
        <v>-3.5322863958000002E-2</v>
      </c>
    </row>
    <row r="386" spans="1:2" x14ac:dyDescent="0.3">
      <c r="A386" s="22">
        <v>-5.7049999999999996E-6</v>
      </c>
      <c r="B386" s="22">
        <v>-3.1302763498E-2</v>
      </c>
    </row>
    <row r="387" spans="1:2" x14ac:dyDescent="0.3">
      <c r="A387" s="22">
        <v>-5.6999999999999996E-6</v>
      </c>
      <c r="B387" s="22">
        <v>-3.6930904142000003E-2</v>
      </c>
    </row>
    <row r="388" spans="1:2" x14ac:dyDescent="0.3">
      <c r="A388" s="22">
        <v>-5.6949999999999997E-6</v>
      </c>
      <c r="B388" s="22">
        <v>-3.2910803682000001E-2</v>
      </c>
    </row>
    <row r="389" spans="1:2" x14ac:dyDescent="0.3">
      <c r="A389" s="22">
        <v>-5.6899999999999997E-6</v>
      </c>
      <c r="B389" s="22">
        <v>-3.4518843866000001E-2</v>
      </c>
    </row>
    <row r="390" spans="1:2" x14ac:dyDescent="0.3">
      <c r="A390" s="22">
        <v>-5.6849999999999998E-6</v>
      </c>
      <c r="B390" s="22">
        <v>-3.2910803682000001E-2</v>
      </c>
    </row>
    <row r="391" spans="1:2" x14ac:dyDescent="0.3">
      <c r="A391" s="22">
        <v>-5.6799999999999998E-6</v>
      </c>
      <c r="B391" s="22">
        <v>-3.5322863958000002E-2</v>
      </c>
    </row>
    <row r="392" spans="1:2" x14ac:dyDescent="0.3">
      <c r="A392" s="22">
        <v>-5.6749999999999999E-6</v>
      </c>
      <c r="B392" s="22">
        <v>-3.210678359E-2</v>
      </c>
    </row>
    <row r="393" spans="1:2" x14ac:dyDescent="0.3">
      <c r="A393" s="22">
        <v>-5.6699999999999999E-6</v>
      </c>
      <c r="B393" s="22">
        <v>-3.2910803682000001E-2</v>
      </c>
    </row>
    <row r="394" spans="1:2" x14ac:dyDescent="0.3">
      <c r="A394" s="22">
        <v>-5.665E-6</v>
      </c>
      <c r="B394" s="22">
        <v>-3.8538944324999998E-2</v>
      </c>
    </row>
    <row r="395" spans="1:2" x14ac:dyDescent="0.3">
      <c r="A395" s="22">
        <v>-5.66E-6</v>
      </c>
      <c r="B395" s="22">
        <v>-3.3714823774000001E-2</v>
      </c>
    </row>
    <row r="396" spans="1:2" x14ac:dyDescent="0.3">
      <c r="A396" s="22">
        <v>-5.6550000000000001E-6</v>
      </c>
      <c r="B396" s="22">
        <v>-3.4518843866000001E-2</v>
      </c>
    </row>
    <row r="397" spans="1:2" x14ac:dyDescent="0.3">
      <c r="A397" s="22">
        <v>-5.6500000000000001E-6</v>
      </c>
      <c r="B397" s="22">
        <v>-3.4518843866000001E-2</v>
      </c>
    </row>
    <row r="398" spans="1:2" x14ac:dyDescent="0.3">
      <c r="A398" s="22">
        <v>-5.6450000000000002E-6</v>
      </c>
      <c r="B398" s="22">
        <v>-3.3714823774000001E-2</v>
      </c>
    </row>
    <row r="399" spans="1:2" x14ac:dyDescent="0.3">
      <c r="A399" s="22">
        <v>-5.6400000000000002E-6</v>
      </c>
      <c r="B399" s="22">
        <v>-3.5322863958000002E-2</v>
      </c>
    </row>
    <row r="400" spans="1:2" x14ac:dyDescent="0.3">
      <c r="A400" s="22">
        <v>-5.6350000000000003E-6</v>
      </c>
      <c r="B400" s="22">
        <v>-3.2910803682000001E-2</v>
      </c>
    </row>
    <row r="401" spans="1:2" x14ac:dyDescent="0.3">
      <c r="A401" s="22">
        <v>-5.6300000000000003E-6</v>
      </c>
      <c r="B401" s="22">
        <v>-3.2910803682000001E-2</v>
      </c>
    </row>
    <row r="402" spans="1:2" x14ac:dyDescent="0.3">
      <c r="A402" s="22">
        <v>-5.6250000000000004E-6</v>
      </c>
      <c r="B402" s="22">
        <v>-3.6930904142000003E-2</v>
      </c>
    </row>
    <row r="403" spans="1:2" x14ac:dyDescent="0.3">
      <c r="A403" s="22">
        <v>-5.6200000000000004E-6</v>
      </c>
      <c r="B403" s="22">
        <v>-3.4518843866000001E-2</v>
      </c>
    </row>
    <row r="404" spans="1:2" x14ac:dyDescent="0.3">
      <c r="A404" s="22">
        <v>-5.6149999999999996E-6</v>
      </c>
      <c r="B404" s="22">
        <v>-3.5322863958000002E-2</v>
      </c>
    </row>
    <row r="405" spans="1:2" x14ac:dyDescent="0.3">
      <c r="A405" s="22">
        <v>-5.6099999999999997E-6</v>
      </c>
      <c r="B405" s="22">
        <v>-3.2910803682000001E-2</v>
      </c>
    </row>
    <row r="406" spans="1:2" x14ac:dyDescent="0.3">
      <c r="A406" s="22">
        <v>-5.6049999999999997E-6</v>
      </c>
      <c r="B406" s="22">
        <v>-3.4518843866000001E-2</v>
      </c>
    </row>
    <row r="407" spans="1:2" x14ac:dyDescent="0.3">
      <c r="A407" s="22">
        <v>-5.5999999999999997E-6</v>
      </c>
      <c r="B407" s="22">
        <v>-3.4518843866000001E-2</v>
      </c>
    </row>
    <row r="408" spans="1:2" x14ac:dyDescent="0.3">
      <c r="A408" s="22">
        <v>-5.5949999999999998E-6</v>
      </c>
      <c r="B408" s="22">
        <v>-3.2910803682000001E-2</v>
      </c>
    </row>
    <row r="409" spans="1:2" x14ac:dyDescent="0.3">
      <c r="A409" s="22">
        <v>-5.5899999999999998E-6</v>
      </c>
      <c r="B409" s="22">
        <v>-3.4518843866000001E-2</v>
      </c>
    </row>
    <row r="410" spans="1:2" x14ac:dyDescent="0.3">
      <c r="A410" s="22">
        <v>-5.5849999999999999E-6</v>
      </c>
      <c r="B410" s="22">
        <v>-3.6126884050000002E-2</v>
      </c>
    </row>
    <row r="411" spans="1:2" x14ac:dyDescent="0.3">
      <c r="A411" s="22">
        <v>-5.5799999999999999E-6</v>
      </c>
      <c r="B411" s="22">
        <v>-3.4518843866000001E-2</v>
      </c>
    </row>
    <row r="412" spans="1:2" x14ac:dyDescent="0.3">
      <c r="A412" s="22">
        <v>-5.575E-6</v>
      </c>
      <c r="B412" s="22">
        <v>-3.2910803682000001E-2</v>
      </c>
    </row>
    <row r="413" spans="1:2" x14ac:dyDescent="0.3">
      <c r="A413" s="22">
        <v>-5.57E-6</v>
      </c>
      <c r="B413" s="22">
        <v>-3.3714823774000001E-2</v>
      </c>
    </row>
    <row r="414" spans="1:2" x14ac:dyDescent="0.3">
      <c r="A414" s="22">
        <v>-5.5650000000000001E-6</v>
      </c>
      <c r="B414" s="22">
        <v>-3.4518843866000001E-2</v>
      </c>
    </row>
    <row r="415" spans="1:2" x14ac:dyDescent="0.3">
      <c r="A415" s="22">
        <v>-5.5600000000000001E-6</v>
      </c>
      <c r="B415" s="22">
        <v>-3.2910803682000001E-2</v>
      </c>
    </row>
    <row r="416" spans="1:2" x14ac:dyDescent="0.3">
      <c r="A416" s="22">
        <v>-5.5550000000000002E-6</v>
      </c>
      <c r="B416" s="22">
        <v>-3.5322863958000002E-2</v>
      </c>
    </row>
    <row r="417" spans="1:2" x14ac:dyDescent="0.3">
      <c r="A417" s="22">
        <v>-5.5500000000000002E-6</v>
      </c>
      <c r="B417" s="22">
        <v>-3.3714823774000001E-2</v>
      </c>
    </row>
    <row r="418" spans="1:2" x14ac:dyDescent="0.3">
      <c r="A418" s="22">
        <v>-5.5450000000000003E-6</v>
      </c>
      <c r="B418" s="22">
        <v>-3.6126884050000002E-2</v>
      </c>
    </row>
    <row r="419" spans="1:2" x14ac:dyDescent="0.3">
      <c r="A419" s="22">
        <v>-5.5400000000000003E-6</v>
      </c>
      <c r="B419" s="22">
        <v>-3.2910803682000001E-2</v>
      </c>
    </row>
    <row r="420" spans="1:2" x14ac:dyDescent="0.3">
      <c r="A420" s="22">
        <v>-5.5350000000000004E-6</v>
      </c>
      <c r="B420" s="22">
        <v>-3.4518843866000001E-2</v>
      </c>
    </row>
    <row r="421" spans="1:2" x14ac:dyDescent="0.3">
      <c r="A421" s="22">
        <v>-5.5300000000000004E-6</v>
      </c>
      <c r="B421" s="22">
        <v>-3.210678359E-2</v>
      </c>
    </row>
    <row r="422" spans="1:2" x14ac:dyDescent="0.3">
      <c r="A422" s="22">
        <v>-5.5249999999999996E-6</v>
      </c>
      <c r="B422" s="22">
        <v>-3.0498743405999999E-2</v>
      </c>
    </row>
    <row r="423" spans="1:2" x14ac:dyDescent="0.3">
      <c r="A423" s="22">
        <v>-5.5199999999999997E-6</v>
      </c>
      <c r="B423" s="22">
        <v>-3.210678359E-2</v>
      </c>
    </row>
    <row r="424" spans="1:2" x14ac:dyDescent="0.3">
      <c r="A424" s="22">
        <v>-5.5149999999999997E-6</v>
      </c>
      <c r="B424" s="22">
        <v>-3.6930904142000003E-2</v>
      </c>
    </row>
    <row r="425" spans="1:2" x14ac:dyDescent="0.3">
      <c r="A425" s="22">
        <v>-5.5099999999999998E-6</v>
      </c>
      <c r="B425" s="22">
        <v>-2.9694723315000001E-2</v>
      </c>
    </row>
    <row r="426" spans="1:2" x14ac:dyDescent="0.3">
      <c r="A426" s="22">
        <v>-5.5049999999999998E-6</v>
      </c>
      <c r="B426" s="22">
        <v>-3.5322863958000002E-2</v>
      </c>
    </row>
    <row r="427" spans="1:2" x14ac:dyDescent="0.3">
      <c r="A427" s="22">
        <v>-5.4999999999999999E-6</v>
      </c>
      <c r="B427" s="22">
        <v>-3.1302763498E-2</v>
      </c>
    </row>
    <row r="428" spans="1:2" x14ac:dyDescent="0.3">
      <c r="A428" s="22">
        <v>-5.4949999999999999E-6</v>
      </c>
      <c r="B428" s="22">
        <v>-3.6930904142000003E-2</v>
      </c>
    </row>
    <row r="429" spans="1:2" x14ac:dyDescent="0.3">
      <c r="A429" s="22">
        <v>-5.49E-6</v>
      </c>
      <c r="B429" s="22">
        <v>-3.2910803682000001E-2</v>
      </c>
    </row>
    <row r="430" spans="1:2" x14ac:dyDescent="0.3">
      <c r="A430" s="22">
        <v>-5.485E-6</v>
      </c>
      <c r="B430" s="22">
        <v>-3.6126884050000002E-2</v>
      </c>
    </row>
    <row r="431" spans="1:2" x14ac:dyDescent="0.3">
      <c r="A431" s="22">
        <v>-5.48E-6</v>
      </c>
      <c r="B431" s="22">
        <v>-3.2910803682000001E-2</v>
      </c>
    </row>
    <row r="432" spans="1:2" x14ac:dyDescent="0.3">
      <c r="A432" s="22">
        <v>-5.4750000000000001E-6</v>
      </c>
      <c r="B432" s="22">
        <v>-3.2910803682000001E-2</v>
      </c>
    </row>
    <row r="433" spans="1:2" x14ac:dyDescent="0.3">
      <c r="A433" s="22">
        <v>-5.4700000000000001E-6</v>
      </c>
      <c r="B433" s="22">
        <v>-3.4518843866000001E-2</v>
      </c>
    </row>
    <row r="434" spans="1:2" x14ac:dyDescent="0.3">
      <c r="A434" s="22">
        <v>-5.4650000000000002E-6</v>
      </c>
      <c r="B434" s="22">
        <v>-3.210678359E-2</v>
      </c>
    </row>
    <row r="435" spans="1:2" x14ac:dyDescent="0.3">
      <c r="A435" s="22">
        <v>-5.4600000000000002E-6</v>
      </c>
      <c r="B435" s="22">
        <v>-3.3714823774000001E-2</v>
      </c>
    </row>
    <row r="436" spans="1:2" x14ac:dyDescent="0.3">
      <c r="A436" s="22">
        <v>-5.4550000000000003E-6</v>
      </c>
      <c r="B436" s="22">
        <v>-3.210678359E-2</v>
      </c>
    </row>
    <row r="437" spans="1:2" x14ac:dyDescent="0.3">
      <c r="A437" s="22">
        <v>-5.4500000000000003E-6</v>
      </c>
      <c r="B437" s="22">
        <v>-3.210678359E-2</v>
      </c>
    </row>
    <row r="438" spans="1:2" x14ac:dyDescent="0.3">
      <c r="A438" s="22">
        <v>-5.4450000000000004E-6</v>
      </c>
      <c r="B438" s="22">
        <v>-3.3714823774000001E-2</v>
      </c>
    </row>
    <row r="439" spans="1:2" x14ac:dyDescent="0.3">
      <c r="A439" s="22">
        <v>-5.4399999999999996E-6</v>
      </c>
      <c r="B439" s="22">
        <v>-3.3714823774000001E-2</v>
      </c>
    </row>
    <row r="440" spans="1:2" x14ac:dyDescent="0.3">
      <c r="A440" s="22">
        <v>-5.4349999999999996E-6</v>
      </c>
      <c r="B440" s="22">
        <v>-3.3714823774000001E-2</v>
      </c>
    </row>
    <row r="441" spans="1:2" x14ac:dyDescent="0.3">
      <c r="A441" s="22">
        <v>-5.4299999999999997E-6</v>
      </c>
      <c r="B441" s="22">
        <v>-3.2910803682000001E-2</v>
      </c>
    </row>
    <row r="442" spans="1:2" x14ac:dyDescent="0.3">
      <c r="A442" s="22">
        <v>-5.4249999999999997E-6</v>
      </c>
      <c r="B442" s="22">
        <v>-3.2910803682000001E-2</v>
      </c>
    </row>
    <row r="443" spans="1:2" x14ac:dyDescent="0.3">
      <c r="A443" s="22">
        <v>-5.4199999999999998E-6</v>
      </c>
      <c r="B443" s="22">
        <v>-3.7734924232999997E-2</v>
      </c>
    </row>
    <row r="444" spans="1:2" x14ac:dyDescent="0.3">
      <c r="A444" s="22">
        <v>-5.4149999999999998E-6</v>
      </c>
      <c r="B444" s="22">
        <v>-3.2910803682000001E-2</v>
      </c>
    </row>
    <row r="445" spans="1:2" x14ac:dyDescent="0.3">
      <c r="A445" s="22">
        <v>-5.4099999999999999E-6</v>
      </c>
      <c r="B445" s="22">
        <v>-3.210678359E-2</v>
      </c>
    </row>
    <row r="446" spans="1:2" x14ac:dyDescent="0.3">
      <c r="A446" s="22">
        <v>-5.4049999999999999E-6</v>
      </c>
      <c r="B446" s="22">
        <v>-3.210678359E-2</v>
      </c>
    </row>
    <row r="447" spans="1:2" x14ac:dyDescent="0.3">
      <c r="A447" s="22">
        <v>-5.4E-6</v>
      </c>
      <c r="B447" s="22">
        <v>-3.2910803682000001E-2</v>
      </c>
    </row>
    <row r="448" spans="1:2" x14ac:dyDescent="0.3">
      <c r="A448" s="22">
        <v>-5.395E-6</v>
      </c>
      <c r="B448" s="22">
        <v>-3.4518843866000001E-2</v>
      </c>
    </row>
    <row r="449" spans="1:2" x14ac:dyDescent="0.3">
      <c r="A449" s="22">
        <v>-5.3900000000000001E-6</v>
      </c>
      <c r="B449" s="22">
        <v>-3.2910803682000001E-2</v>
      </c>
    </row>
    <row r="450" spans="1:2" x14ac:dyDescent="0.3">
      <c r="A450" s="22">
        <v>-5.3850000000000001E-6</v>
      </c>
      <c r="B450" s="22">
        <v>-3.4518843866000001E-2</v>
      </c>
    </row>
    <row r="451" spans="1:2" x14ac:dyDescent="0.3">
      <c r="A451" s="22">
        <v>-5.3800000000000002E-6</v>
      </c>
      <c r="B451" s="22">
        <v>-3.210678359E-2</v>
      </c>
    </row>
    <row r="452" spans="1:2" x14ac:dyDescent="0.3">
      <c r="A452" s="22">
        <v>-5.3750000000000002E-6</v>
      </c>
      <c r="B452" s="22">
        <v>-3.2910803682000001E-2</v>
      </c>
    </row>
    <row r="453" spans="1:2" x14ac:dyDescent="0.3">
      <c r="A453" s="22">
        <v>-5.3700000000000003E-6</v>
      </c>
      <c r="B453" s="22">
        <v>-3.0498743405999999E-2</v>
      </c>
    </row>
    <row r="454" spans="1:2" x14ac:dyDescent="0.3">
      <c r="A454" s="22">
        <v>-5.3650000000000003E-6</v>
      </c>
      <c r="B454" s="22">
        <v>-3.4518843866000001E-2</v>
      </c>
    </row>
    <row r="455" spans="1:2" x14ac:dyDescent="0.3">
      <c r="A455" s="22">
        <v>-5.3600000000000004E-6</v>
      </c>
      <c r="B455" s="22">
        <v>-3.3714823774000001E-2</v>
      </c>
    </row>
    <row r="456" spans="1:2" x14ac:dyDescent="0.3">
      <c r="A456" s="22">
        <v>-5.3550000000000004E-6</v>
      </c>
      <c r="B456" s="22">
        <v>-3.3714823774000001E-2</v>
      </c>
    </row>
    <row r="457" spans="1:2" x14ac:dyDescent="0.3">
      <c r="A457" s="22">
        <v>-5.3499999999999996E-6</v>
      </c>
      <c r="B457" s="22">
        <v>-3.6930904142000003E-2</v>
      </c>
    </row>
    <row r="458" spans="1:2" x14ac:dyDescent="0.3">
      <c r="A458" s="22">
        <v>-5.3449999999999996E-6</v>
      </c>
      <c r="B458" s="22">
        <v>-3.3714823774000001E-2</v>
      </c>
    </row>
    <row r="459" spans="1:2" x14ac:dyDescent="0.3">
      <c r="A459" s="22">
        <v>-5.3399999999999997E-6</v>
      </c>
      <c r="B459" s="22">
        <v>-3.2910803682000001E-2</v>
      </c>
    </row>
    <row r="460" spans="1:2" x14ac:dyDescent="0.3">
      <c r="A460" s="22">
        <v>-5.3349999999999997E-6</v>
      </c>
      <c r="B460" s="22">
        <v>-3.6126884050000002E-2</v>
      </c>
    </row>
    <row r="461" spans="1:2" x14ac:dyDescent="0.3">
      <c r="A461" s="22">
        <v>-5.3299999999999998E-6</v>
      </c>
      <c r="B461" s="22">
        <v>-3.5322863958000002E-2</v>
      </c>
    </row>
    <row r="462" spans="1:2" x14ac:dyDescent="0.3">
      <c r="A462" s="22">
        <v>-5.3249999999999998E-6</v>
      </c>
      <c r="B462" s="22">
        <v>-3.4518843866000001E-2</v>
      </c>
    </row>
    <row r="463" spans="1:2" x14ac:dyDescent="0.3">
      <c r="A463" s="22">
        <v>-5.3199999999999999E-6</v>
      </c>
      <c r="B463" s="22">
        <v>-3.7734924232999997E-2</v>
      </c>
    </row>
    <row r="464" spans="1:2" x14ac:dyDescent="0.3">
      <c r="A464" s="22">
        <v>-5.3149999999999999E-6</v>
      </c>
      <c r="B464" s="22">
        <v>-3.210678359E-2</v>
      </c>
    </row>
    <row r="465" spans="1:2" x14ac:dyDescent="0.3">
      <c r="A465" s="22">
        <v>-5.31E-6</v>
      </c>
      <c r="B465" s="22">
        <v>-3.8538944324999998E-2</v>
      </c>
    </row>
    <row r="466" spans="1:2" x14ac:dyDescent="0.3">
      <c r="A466" s="22">
        <v>-5.305E-6</v>
      </c>
      <c r="B466" s="22">
        <v>-3.1302763498E-2</v>
      </c>
    </row>
    <row r="467" spans="1:2" x14ac:dyDescent="0.3">
      <c r="A467" s="22">
        <v>-5.3000000000000001E-6</v>
      </c>
      <c r="B467" s="22">
        <v>-3.5322863958000002E-2</v>
      </c>
    </row>
    <row r="468" spans="1:2" x14ac:dyDescent="0.3">
      <c r="A468" s="22">
        <v>-5.2950000000000001E-6</v>
      </c>
      <c r="B468" s="22">
        <v>-3.2910803682000001E-2</v>
      </c>
    </row>
    <row r="469" spans="1:2" x14ac:dyDescent="0.3">
      <c r="A469" s="22">
        <v>-5.2900000000000002E-6</v>
      </c>
      <c r="B469" s="22">
        <v>-3.2910803682000001E-2</v>
      </c>
    </row>
    <row r="470" spans="1:2" x14ac:dyDescent="0.3">
      <c r="A470" s="22">
        <v>-5.2850000000000002E-6</v>
      </c>
      <c r="B470" s="22">
        <v>-3.2910803682000001E-2</v>
      </c>
    </row>
    <row r="471" spans="1:2" x14ac:dyDescent="0.3">
      <c r="A471" s="22">
        <v>-5.2800000000000003E-6</v>
      </c>
      <c r="B471" s="22">
        <v>-3.210678359E-2</v>
      </c>
    </row>
    <row r="472" spans="1:2" x14ac:dyDescent="0.3">
      <c r="A472" s="22">
        <v>-5.2750000000000003E-6</v>
      </c>
      <c r="B472" s="22">
        <v>-3.5322863958000002E-2</v>
      </c>
    </row>
    <row r="473" spans="1:2" x14ac:dyDescent="0.3">
      <c r="A473" s="22">
        <v>-5.2700000000000004E-6</v>
      </c>
      <c r="B473" s="22">
        <v>-3.3714823774000001E-2</v>
      </c>
    </row>
    <row r="474" spans="1:2" x14ac:dyDescent="0.3">
      <c r="A474" s="22">
        <v>-5.2650000000000004E-6</v>
      </c>
      <c r="B474" s="22">
        <v>-3.5322863958000002E-2</v>
      </c>
    </row>
    <row r="475" spans="1:2" x14ac:dyDescent="0.3">
      <c r="A475" s="22">
        <v>-5.2599999999999996E-6</v>
      </c>
      <c r="B475" s="22">
        <v>-3.0498743407000001E-2</v>
      </c>
    </row>
    <row r="476" spans="1:2" x14ac:dyDescent="0.3">
      <c r="A476" s="22">
        <v>-5.2549999999999997E-6</v>
      </c>
      <c r="B476" s="22">
        <v>-3.7734924232999997E-2</v>
      </c>
    </row>
    <row r="477" spans="1:2" x14ac:dyDescent="0.3">
      <c r="A477" s="22">
        <v>-5.2499999999999997E-6</v>
      </c>
      <c r="B477" s="22">
        <v>-3.210678359E-2</v>
      </c>
    </row>
    <row r="478" spans="1:2" x14ac:dyDescent="0.3">
      <c r="A478" s="22">
        <v>-5.2449999999999998E-6</v>
      </c>
      <c r="B478" s="22">
        <v>-3.4518843866000001E-2</v>
      </c>
    </row>
    <row r="479" spans="1:2" x14ac:dyDescent="0.3">
      <c r="A479" s="22">
        <v>-5.2399999999999998E-6</v>
      </c>
      <c r="B479" s="22">
        <v>-3.5322863958000002E-2</v>
      </c>
    </row>
    <row r="480" spans="1:2" x14ac:dyDescent="0.3">
      <c r="A480" s="22">
        <v>-5.2349999999999999E-6</v>
      </c>
      <c r="B480" s="22">
        <v>-3.5322863958000002E-2</v>
      </c>
    </row>
    <row r="481" spans="1:2" x14ac:dyDescent="0.3">
      <c r="A481" s="22">
        <v>-5.2299999999999999E-6</v>
      </c>
      <c r="B481" s="22">
        <v>-3.210678359E-2</v>
      </c>
    </row>
    <row r="482" spans="1:2" x14ac:dyDescent="0.3">
      <c r="A482" s="22">
        <v>-5.2249999999999999E-6</v>
      </c>
      <c r="B482" s="22">
        <v>-3.2910803682000001E-2</v>
      </c>
    </row>
    <row r="483" spans="1:2" x14ac:dyDescent="0.3">
      <c r="A483" s="22">
        <v>-5.22E-6</v>
      </c>
      <c r="B483" s="22">
        <v>-3.3714823774000001E-2</v>
      </c>
    </row>
    <row r="484" spans="1:2" x14ac:dyDescent="0.3">
      <c r="A484" s="22">
        <v>-5.215E-6</v>
      </c>
      <c r="B484" s="22">
        <v>-3.6930904142000003E-2</v>
      </c>
    </row>
    <row r="485" spans="1:2" x14ac:dyDescent="0.3">
      <c r="A485" s="22">
        <v>-5.2100000000000001E-6</v>
      </c>
      <c r="B485" s="22">
        <v>-3.210678359E-2</v>
      </c>
    </row>
    <row r="486" spans="1:2" x14ac:dyDescent="0.3">
      <c r="A486" s="22">
        <v>-5.2050000000000001E-6</v>
      </c>
      <c r="B486" s="22">
        <v>-3.1302763498E-2</v>
      </c>
    </row>
    <row r="487" spans="1:2" x14ac:dyDescent="0.3">
      <c r="A487" s="22">
        <v>-5.2000000000000002E-6</v>
      </c>
      <c r="B487" s="22">
        <v>-3.3714823774000001E-2</v>
      </c>
    </row>
    <row r="488" spans="1:2" x14ac:dyDescent="0.3">
      <c r="A488" s="22">
        <v>-5.1950000000000002E-6</v>
      </c>
      <c r="B488" s="22">
        <v>-3.210678359E-2</v>
      </c>
    </row>
    <row r="489" spans="1:2" x14ac:dyDescent="0.3">
      <c r="A489" s="22">
        <v>-5.1900000000000003E-6</v>
      </c>
      <c r="B489" s="22">
        <v>-3.2910803682000001E-2</v>
      </c>
    </row>
    <row r="490" spans="1:2" x14ac:dyDescent="0.3">
      <c r="A490" s="22">
        <v>-5.1850000000000003E-6</v>
      </c>
      <c r="B490" s="22">
        <v>-3.3714823774000001E-2</v>
      </c>
    </row>
    <row r="491" spans="1:2" x14ac:dyDescent="0.3">
      <c r="A491" s="22">
        <v>-5.1800000000000004E-6</v>
      </c>
      <c r="B491" s="22">
        <v>-3.4518843866000001E-2</v>
      </c>
    </row>
    <row r="492" spans="1:2" x14ac:dyDescent="0.3">
      <c r="A492" s="22">
        <v>-5.1749999999999996E-6</v>
      </c>
      <c r="B492" s="22">
        <v>-3.4518843866000001E-2</v>
      </c>
    </row>
    <row r="493" spans="1:2" x14ac:dyDescent="0.3">
      <c r="A493" s="22">
        <v>-5.1699999999999996E-6</v>
      </c>
      <c r="B493" s="22">
        <v>-3.3714823774000001E-2</v>
      </c>
    </row>
    <row r="494" spans="1:2" x14ac:dyDescent="0.3">
      <c r="A494" s="22">
        <v>-5.1649999999999997E-6</v>
      </c>
      <c r="B494" s="22">
        <v>-3.3714823774000001E-2</v>
      </c>
    </row>
    <row r="495" spans="1:2" x14ac:dyDescent="0.3">
      <c r="A495" s="22">
        <v>-5.1599999999999997E-6</v>
      </c>
      <c r="B495" s="22">
        <v>-3.5322863958000002E-2</v>
      </c>
    </row>
    <row r="496" spans="1:2" x14ac:dyDescent="0.3">
      <c r="A496" s="22">
        <v>-5.1549999999999998E-6</v>
      </c>
      <c r="B496" s="22">
        <v>-3.5322863958000002E-2</v>
      </c>
    </row>
    <row r="497" spans="1:2" x14ac:dyDescent="0.3">
      <c r="A497" s="22">
        <v>-5.1499999999999998E-6</v>
      </c>
      <c r="B497" s="22">
        <v>-3.8538944324999998E-2</v>
      </c>
    </row>
    <row r="498" spans="1:2" x14ac:dyDescent="0.3">
      <c r="A498" s="22">
        <v>-5.1449999999999999E-6</v>
      </c>
      <c r="B498" s="22">
        <v>-3.4518843866000001E-2</v>
      </c>
    </row>
    <row r="499" spans="1:2" x14ac:dyDescent="0.3">
      <c r="A499" s="22">
        <v>-5.1399999999999999E-6</v>
      </c>
      <c r="B499" s="22">
        <v>-3.4518843866000001E-2</v>
      </c>
    </row>
    <row r="500" spans="1:2" x14ac:dyDescent="0.3">
      <c r="A500" s="22">
        <v>-5.135E-6</v>
      </c>
      <c r="B500" s="22">
        <v>-3.6126884050000002E-2</v>
      </c>
    </row>
    <row r="501" spans="1:2" x14ac:dyDescent="0.3">
      <c r="A501" s="22">
        <v>-5.13E-6</v>
      </c>
      <c r="B501" s="22">
        <v>-3.4518843866000001E-2</v>
      </c>
    </row>
    <row r="502" spans="1:2" x14ac:dyDescent="0.3">
      <c r="A502" s="22">
        <v>-5.1250000000000001E-6</v>
      </c>
      <c r="B502" s="22">
        <v>-3.4518843866000001E-2</v>
      </c>
    </row>
    <row r="503" spans="1:2" x14ac:dyDescent="0.3">
      <c r="A503" s="22">
        <v>-5.1200000000000001E-6</v>
      </c>
      <c r="B503" s="22">
        <v>-3.4518843866000001E-2</v>
      </c>
    </row>
    <row r="504" spans="1:2" x14ac:dyDescent="0.3">
      <c r="A504" s="22">
        <v>-5.1150000000000002E-6</v>
      </c>
      <c r="B504" s="22">
        <v>-3.6930904142000003E-2</v>
      </c>
    </row>
    <row r="505" spans="1:2" x14ac:dyDescent="0.3">
      <c r="A505" s="22">
        <v>-5.1100000000000002E-6</v>
      </c>
      <c r="B505" s="22">
        <v>-3.6126884050000002E-2</v>
      </c>
    </row>
    <row r="506" spans="1:2" x14ac:dyDescent="0.3">
      <c r="A506" s="22">
        <v>-5.1050000000000003E-6</v>
      </c>
      <c r="B506" s="22">
        <v>-3.4518843866000001E-2</v>
      </c>
    </row>
    <row r="507" spans="1:2" x14ac:dyDescent="0.3">
      <c r="A507" s="22">
        <v>-5.1000000000000003E-6</v>
      </c>
      <c r="B507" s="22">
        <v>-3.4518843866000001E-2</v>
      </c>
    </row>
    <row r="508" spans="1:2" x14ac:dyDescent="0.3">
      <c r="A508" s="22">
        <v>-5.0950000000000003E-6</v>
      </c>
      <c r="B508" s="22">
        <v>-3.3714823774000001E-2</v>
      </c>
    </row>
    <row r="509" spans="1:2" x14ac:dyDescent="0.3">
      <c r="A509" s="22">
        <v>-5.0900000000000004E-6</v>
      </c>
      <c r="B509" s="22">
        <v>-3.2910803682000001E-2</v>
      </c>
    </row>
    <row r="510" spans="1:2" x14ac:dyDescent="0.3">
      <c r="A510" s="22">
        <v>-5.0849999999999996E-6</v>
      </c>
      <c r="B510" s="22">
        <v>-3.2910803682000001E-2</v>
      </c>
    </row>
    <row r="511" spans="1:2" x14ac:dyDescent="0.3">
      <c r="A511" s="22">
        <v>-5.0799999999999996E-6</v>
      </c>
      <c r="B511" s="22">
        <v>-3.210678359E-2</v>
      </c>
    </row>
    <row r="512" spans="1:2" x14ac:dyDescent="0.3">
      <c r="A512" s="22">
        <v>-5.0749999999999997E-6</v>
      </c>
      <c r="B512" s="22">
        <v>-3.2910803682000001E-2</v>
      </c>
    </row>
    <row r="513" spans="1:2" x14ac:dyDescent="0.3">
      <c r="A513" s="22">
        <v>-5.0699999999999997E-6</v>
      </c>
      <c r="B513" s="22">
        <v>-3.3714823774000001E-2</v>
      </c>
    </row>
    <row r="514" spans="1:2" x14ac:dyDescent="0.3">
      <c r="A514" s="22">
        <v>-5.0649999999999998E-6</v>
      </c>
      <c r="B514" s="22">
        <v>-3.6126884050000002E-2</v>
      </c>
    </row>
    <row r="515" spans="1:2" x14ac:dyDescent="0.3">
      <c r="A515" s="22">
        <v>-5.0599999999999998E-6</v>
      </c>
      <c r="B515" s="22">
        <v>-3.5322863958000002E-2</v>
      </c>
    </row>
    <row r="516" spans="1:2" x14ac:dyDescent="0.3">
      <c r="A516" s="22">
        <v>-5.0549999999999999E-6</v>
      </c>
      <c r="B516" s="22">
        <v>-3.4518843866000001E-2</v>
      </c>
    </row>
    <row r="517" spans="1:2" x14ac:dyDescent="0.3">
      <c r="A517" s="22">
        <v>-5.0499999999999999E-6</v>
      </c>
      <c r="B517" s="22">
        <v>-3.5322863958000002E-2</v>
      </c>
    </row>
    <row r="518" spans="1:2" x14ac:dyDescent="0.3">
      <c r="A518" s="22">
        <v>-5.045E-6</v>
      </c>
      <c r="B518" s="22">
        <v>-3.5322863958000002E-2</v>
      </c>
    </row>
    <row r="519" spans="1:2" x14ac:dyDescent="0.3">
      <c r="A519" s="22">
        <v>-5.04E-6</v>
      </c>
      <c r="B519" s="22">
        <v>-3.2910803682000001E-2</v>
      </c>
    </row>
    <row r="520" spans="1:2" x14ac:dyDescent="0.3">
      <c r="A520" s="22">
        <v>-5.0350000000000001E-6</v>
      </c>
      <c r="B520" s="22">
        <v>-3.3714823774000001E-2</v>
      </c>
    </row>
    <row r="521" spans="1:2" x14ac:dyDescent="0.3">
      <c r="A521" s="22">
        <v>-5.0300000000000001E-6</v>
      </c>
      <c r="B521" s="22">
        <v>-3.6930904142000003E-2</v>
      </c>
    </row>
    <row r="522" spans="1:2" x14ac:dyDescent="0.3">
      <c r="A522" s="22">
        <v>-5.0250000000000002E-6</v>
      </c>
      <c r="B522" s="22">
        <v>-3.4518843866000001E-2</v>
      </c>
    </row>
    <row r="523" spans="1:2" x14ac:dyDescent="0.3">
      <c r="A523" s="22">
        <v>-5.0200000000000002E-6</v>
      </c>
      <c r="B523" s="22">
        <v>-3.6930904142000003E-2</v>
      </c>
    </row>
    <row r="524" spans="1:2" x14ac:dyDescent="0.3">
      <c r="A524" s="22">
        <v>-5.0150000000000003E-6</v>
      </c>
      <c r="B524" s="22">
        <v>-3.2910803682000001E-2</v>
      </c>
    </row>
    <row r="525" spans="1:2" x14ac:dyDescent="0.3">
      <c r="A525" s="22">
        <v>-5.0100000000000003E-6</v>
      </c>
      <c r="B525" s="22">
        <v>-3.5322863958000002E-2</v>
      </c>
    </row>
    <row r="526" spans="1:2" x14ac:dyDescent="0.3">
      <c r="A526" s="22">
        <v>-5.0050000000000004E-6</v>
      </c>
      <c r="B526" s="22">
        <v>-3.6930904142000003E-2</v>
      </c>
    </row>
    <row r="527" spans="1:2" x14ac:dyDescent="0.3">
      <c r="A527" s="22">
        <v>-5.0000000000000004E-6</v>
      </c>
      <c r="B527" s="22">
        <v>-3.210678359E-2</v>
      </c>
    </row>
    <row r="528" spans="1:2" x14ac:dyDescent="0.3">
      <c r="A528" s="22">
        <v>-4.9949999999999996E-6</v>
      </c>
      <c r="B528" s="22">
        <v>-3.3714823774000001E-2</v>
      </c>
    </row>
    <row r="529" spans="1:2" x14ac:dyDescent="0.3">
      <c r="A529" s="22">
        <v>-4.9899999999999997E-6</v>
      </c>
      <c r="B529" s="22">
        <v>-3.4518843866000001E-2</v>
      </c>
    </row>
    <row r="530" spans="1:2" x14ac:dyDescent="0.3">
      <c r="A530" s="22">
        <v>-4.9849999999999997E-6</v>
      </c>
      <c r="B530" s="22">
        <v>-3.4518843866000001E-2</v>
      </c>
    </row>
    <row r="531" spans="1:2" x14ac:dyDescent="0.3">
      <c r="A531" s="22">
        <v>-4.9799999999999998E-6</v>
      </c>
      <c r="B531" s="22">
        <v>-3.1302763498E-2</v>
      </c>
    </row>
    <row r="532" spans="1:2" x14ac:dyDescent="0.3">
      <c r="A532" s="22">
        <v>-4.9749999999999998E-6</v>
      </c>
      <c r="B532" s="22">
        <v>-3.6930904142000003E-2</v>
      </c>
    </row>
    <row r="533" spans="1:2" x14ac:dyDescent="0.3">
      <c r="A533" s="22">
        <v>-4.9699999999999998E-6</v>
      </c>
      <c r="B533" s="22">
        <v>-3.2910803682000001E-2</v>
      </c>
    </row>
    <row r="534" spans="1:2" x14ac:dyDescent="0.3">
      <c r="A534" s="22">
        <v>-4.9649999999999999E-6</v>
      </c>
      <c r="B534" s="22">
        <v>-3.3714823774000001E-2</v>
      </c>
    </row>
    <row r="535" spans="1:2" x14ac:dyDescent="0.3">
      <c r="A535" s="22">
        <v>-4.9599999999999999E-6</v>
      </c>
      <c r="B535" s="22">
        <v>-3.210678359E-2</v>
      </c>
    </row>
    <row r="536" spans="1:2" x14ac:dyDescent="0.3">
      <c r="A536" s="22">
        <v>-4.955E-6</v>
      </c>
      <c r="B536" s="22">
        <v>-3.5322863958000002E-2</v>
      </c>
    </row>
    <row r="537" spans="1:2" x14ac:dyDescent="0.3">
      <c r="A537" s="22">
        <v>-4.95E-6</v>
      </c>
      <c r="B537" s="22">
        <v>-3.3714823774000001E-2</v>
      </c>
    </row>
    <row r="538" spans="1:2" x14ac:dyDescent="0.3">
      <c r="A538" s="22">
        <v>-4.9450000000000001E-6</v>
      </c>
      <c r="B538" s="22">
        <v>-3.5322863958000002E-2</v>
      </c>
    </row>
    <row r="539" spans="1:2" x14ac:dyDescent="0.3">
      <c r="A539" s="22">
        <v>-4.9400000000000001E-6</v>
      </c>
      <c r="B539" s="22">
        <v>-3.4518843866000001E-2</v>
      </c>
    </row>
    <row r="540" spans="1:2" x14ac:dyDescent="0.3">
      <c r="A540" s="22">
        <v>-4.9350000000000002E-6</v>
      </c>
      <c r="B540" s="22">
        <v>-3.2910803682000001E-2</v>
      </c>
    </row>
    <row r="541" spans="1:2" x14ac:dyDescent="0.3">
      <c r="A541" s="22">
        <v>-4.9300000000000002E-6</v>
      </c>
      <c r="B541" s="22">
        <v>-3.5322863958000002E-2</v>
      </c>
    </row>
    <row r="542" spans="1:2" x14ac:dyDescent="0.3">
      <c r="A542" s="22">
        <v>-4.9250000000000003E-6</v>
      </c>
      <c r="B542" s="22">
        <v>-3.2910803682000001E-2</v>
      </c>
    </row>
    <row r="543" spans="1:2" x14ac:dyDescent="0.3">
      <c r="A543" s="22">
        <v>-4.9200000000000003E-6</v>
      </c>
      <c r="B543" s="22">
        <v>-3.3714823774000001E-2</v>
      </c>
    </row>
    <row r="544" spans="1:2" x14ac:dyDescent="0.3">
      <c r="A544" s="22">
        <v>-4.9150000000000004E-6</v>
      </c>
      <c r="B544" s="22">
        <v>-3.2910803682000001E-2</v>
      </c>
    </row>
    <row r="545" spans="1:2" x14ac:dyDescent="0.3">
      <c r="A545" s="22">
        <v>-4.9100000000000004E-6</v>
      </c>
      <c r="B545" s="22">
        <v>-3.6930904142000003E-2</v>
      </c>
    </row>
    <row r="546" spans="1:2" x14ac:dyDescent="0.3">
      <c r="A546" s="22">
        <v>-4.9049999999999996E-6</v>
      </c>
      <c r="B546" s="22">
        <v>-3.1302763498E-2</v>
      </c>
    </row>
    <row r="547" spans="1:2" x14ac:dyDescent="0.3">
      <c r="A547" s="22">
        <v>-4.8999999999999997E-6</v>
      </c>
      <c r="B547" s="22">
        <v>-3.1302763498E-2</v>
      </c>
    </row>
    <row r="548" spans="1:2" x14ac:dyDescent="0.3">
      <c r="A548" s="22">
        <v>-4.8949999999999997E-6</v>
      </c>
      <c r="B548" s="22">
        <v>-3.4518843866000001E-2</v>
      </c>
    </row>
    <row r="549" spans="1:2" x14ac:dyDescent="0.3">
      <c r="A549" s="22">
        <v>-4.8899999999999998E-6</v>
      </c>
      <c r="B549" s="22">
        <v>-3.4518843866000001E-2</v>
      </c>
    </row>
    <row r="550" spans="1:2" x14ac:dyDescent="0.3">
      <c r="A550" s="22">
        <v>-4.8849999999999998E-6</v>
      </c>
      <c r="B550" s="22">
        <v>-3.2910803682000001E-2</v>
      </c>
    </row>
    <row r="551" spans="1:2" x14ac:dyDescent="0.3">
      <c r="A551" s="22">
        <v>-4.8799999999999999E-6</v>
      </c>
      <c r="B551" s="22">
        <v>-3.5322863958000002E-2</v>
      </c>
    </row>
    <row r="552" spans="1:2" x14ac:dyDescent="0.3">
      <c r="A552" s="22">
        <v>-4.8749999999999999E-6</v>
      </c>
      <c r="B552" s="22">
        <v>-3.3714823774000001E-2</v>
      </c>
    </row>
    <row r="553" spans="1:2" x14ac:dyDescent="0.3">
      <c r="A553" s="22">
        <v>-4.87E-6</v>
      </c>
      <c r="B553" s="22">
        <v>-3.3714823774000001E-2</v>
      </c>
    </row>
    <row r="554" spans="1:2" x14ac:dyDescent="0.3">
      <c r="A554" s="22">
        <v>-4.865E-6</v>
      </c>
      <c r="B554" s="22">
        <v>-3.210678359E-2</v>
      </c>
    </row>
    <row r="555" spans="1:2" x14ac:dyDescent="0.3">
      <c r="A555" s="22">
        <v>-4.8600000000000001E-6</v>
      </c>
      <c r="B555" s="22">
        <v>-3.4518843866000001E-2</v>
      </c>
    </row>
    <row r="556" spans="1:2" x14ac:dyDescent="0.3">
      <c r="A556" s="22">
        <v>-4.8550000000000001E-6</v>
      </c>
      <c r="B556" s="22">
        <v>-3.2910803682000001E-2</v>
      </c>
    </row>
    <row r="557" spans="1:2" x14ac:dyDescent="0.3">
      <c r="A557" s="22">
        <v>-4.8500000000000002E-6</v>
      </c>
      <c r="B557" s="22">
        <v>-3.210678359E-2</v>
      </c>
    </row>
    <row r="558" spans="1:2" x14ac:dyDescent="0.3">
      <c r="A558" s="22">
        <v>-4.8450000000000002E-6</v>
      </c>
      <c r="B558" s="22">
        <v>-3.210678359E-2</v>
      </c>
    </row>
    <row r="559" spans="1:2" x14ac:dyDescent="0.3">
      <c r="A559" s="22">
        <v>-4.8400000000000002E-6</v>
      </c>
      <c r="B559" s="22">
        <v>-2.8890703223000001E-2</v>
      </c>
    </row>
    <row r="560" spans="1:2" x14ac:dyDescent="0.3">
      <c r="A560" s="22">
        <v>-4.8350000000000003E-6</v>
      </c>
      <c r="B560" s="22">
        <v>-3.1302763498E-2</v>
      </c>
    </row>
    <row r="561" spans="1:2" x14ac:dyDescent="0.3">
      <c r="A561" s="22">
        <v>-4.8300000000000003E-6</v>
      </c>
      <c r="B561" s="22">
        <v>-2.8086683131E-2</v>
      </c>
    </row>
    <row r="562" spans="1:2" x14ac:dyDescent="0.3">
      <c r="A562" s="22">
        <v>-4.8250000000000004E-6</v>
      </c>
      <c r="B562" s="22">
        <v>-2.8890703223000001E-2</v>
      </c>
    </row>
    <row r="563" spans="1:2" x14ac:dyDescent="0.3">
      <c r="A563" s="22">
        <v>-4.8199999999999996E-6</v>
      </c>
      <c r="B563" s="22">
        <v>-2.6478642946999999E-2</v>
      </c>
    </row>
    <row r="564" spans="1:2" x14ac:dyDescent="0.3">
      <c r="A564" s="22">
        <v>-4.8149999999999996E-6</v>
      </c>
      <c r="B564" s="22">
        <v>-2.326256258E-2</v>
      </c>
    </row>
    <row r="565" spans="1:2" x14ac:dyDescent="0.3">
      <c r="A565" s="22">
        <v>-4.8099999999999997E-6</v>
      </c>
      <c r="B565" s="22">
        <v>-1.8438442028000001E-2</v>
      </c>
    </row>
    <row r="566" spans="1:2" x14ac:dyDescent="0.3">
      <c r="A566" s="22">
        <v>-4.8049999999999997E-6</v>
      </c>
      <c r="B566" s="22">
        <v>-1.9242462120000001E-2</v>
      </c>
    </row>
    <row r="567" spans="1:2" x14ac:dyDescent="0.3">
      <c r="A567" s="22">
        <v>-4.7999999999999998E-6</v>
      </c>
      <c r="B567" s="22">
        <v>-2.0850502303999999E-2</v>
      </c>
    </row>
    <row r="568" spans="1:2" x14ac:dyDescent="0.3">
      <c r="A568" s="22">
        <v>-4.7949999999999998E-6</v>
      </c>
      <c r="B568" s="22">
        <v>-1.6830401844E-2</v>
      </c>
    </row>
    <row r="569" spans="1:2" x14ac:dyDescent="0.3">
      <c r="A569" s="22">
        <v>-4.7899999999999999E-6</v>
      </c>
      <c r="B569" s="22">
        <v>-1.6026381752E-2</v>
      </c>
    </row>
    <row r="570" spans="1:2" x14ac:dyDescent="0.3">
      <c r="A570" s="22">
        <v>-4.7849999999999999E-6</v>
      </c>
      <c r="B570" s="22">
        <v>-1.2810301385E-2</v>
      </c>
    </row>
    <row r="571" spans="1:2" x14ac:dyDescent="0.3">
      <c r="A571" s="22">
        <v>-4.78E-6</v>
      </c>
      <c r="B571" s="22">
        <v>-1.0398241109000001E-2</v>
      </c>
    </row>
    <row r="572" spans="1:2" x14ac:dyDescent="0.3">
      <c r="A572" s="22">
        <v>-4.775E-6</v>
      </c>
      <c r="B572" s="22">
        <v>-4.7701004660000001E-3</v>
      </c>
    </row>
    <row r="573" spans="1:2" x14ac:dyDescent="0.3">
      <c r="A573" s="22">
        <v>-4.7700000000000001E-6</v>
      </c>
      <c r="B573" s="22">
        <v>-7.1821607419999996E-3</v>
      </c>
    </row>
    <row r="574" spans="1:2" x14ac:dyDescent="0.3">
      <c r="A574" s="22">
        <v>-4.7650000000000001E-6</v>
      </c>
      <c r="B574" s="22">
        <v>-3.1620602820000001E-3</v>
      </c>
    </row>
    <row r="575" spans="1:2" x14ac:dyDescent="0.3">
      <c r="A575" s="22">
        <v>-4.7600000000000002E-6</v>
      </c>
      <c r="B575" s="22">
        <v>-2.3580401900000002E-3</v>
      </c>
    </row>
    <row r="576" spans="1:2" x14ac:dyDescent="0.3">
      <c r="A576" s="22">
        <v>-4.7550000000000002E-6</v>
      </c>
      <c r="B576" s="22">
        <v>-7.5000000699999999E-4</v>
      </c>
    </row>
    <row r="577" spans="1:2" x14ac:dyDescent="0.3">
      <c r="A577" s="22">
        <v>-4.7500000000000003E-6</v>
      </c>
      <c r="B577" s="22">
        <v>8.5804017699999996E-4</v>
      </c>
    </row>
    <row r="578" spans="1:2" x14ac:dyDescent="0.3">
      <c r="A578" s="22">
        <v>-4.7450000000000003E-6</v>
      </c>
      <c r="B578" s="22">
        <v>2.4660803610000001E-3</v>
      </c>
    </row>
    <row r="579" spans="1:2" x14ac:dyDescent="0.3">
      <c r="A579" s="22">
        <v>-4.7400000000000004E-6</v>
      </c>
      <c r="B579" s="22">
        <v>7.290200912E-3</v>
      </c>
    </row>
    <row r="580" spans="1:2" x14ac:dyDescent="0.3">
      <c r="A580" s="22">
        <v>-4.7350000000000004E-6</v>
      </c>
      <c r="B580" s="22">
        <v>7.290200912E-3</v>
      </c>
    </row>
    <row r="581" spans="1:2" x14ac:dyDescent="0.3">
      <c r="A581" s="22">
        <v>-4.7299999999999996E-6</v>
      </c>
      <c r="B581" s="22">
        <v>9.7022611879999995E-3</v>
      </c>
    </row>
    <row r="582" spans="1:2" x14ac:dyDescent="0.3">
      <c r="A582" s="22">
        <v>-4.7249999999999997E-6</v>
      </c>
      <c r="B582" s="22">
        <v>9.7022611879999995E-3</v>
      </c>
    </row>
    <row r="583" spans="1:2" x14ac:dyDescent="0.3">
      <c r="A583" s="22">
        <v>-4.7199999999999997E-6</v>
      </c>
      <c r="B583" s="22">
        <v>1.2114321464000001E-2</v>
      </c>
    </row>
    <row r="584" spans="1:2" x14ac:dyDescent="0.3">
      <c r="A584" s="22">
        <v>-4.7149999999999997E-6</v>
      </c>
      <c r="B584" s="22">
        <v>1.5330401831E-2</v>
      </c>
    </row>
    <row r="585" spans="1:2" x14ac:dyDescent="0.3">
      <c r="A585" s="22">
        <v>-4.7099999999999998E-6</v>
      </c>
      <c r="B585" s="22">
        <v>1.3722361648E-2</v>
      </c>
    </row>
    <row r="586" spans="1:2" x14ac:dyDescent="0.3">
      <c r="A586" s="22">
        <v>-4.7049999999999998E-6</v>
      </c>
      <c r="B586" s="22">
        <v>1.6938442014999999E-2</v>
      </c>
    </row>
    <row r="587" spans="1:2" x14ac:dyDescent="0.3">
      <c r="A587" s="22">
        <v>-4.6999999999999999E-6</v>
      </c>
      <c r="B587" s="22">
        <v>1.6938442014999999E-2</v>
      </c>
    </row>
    <row r="588" spans="1:2" x14ac:dyDescent="0.3">
      <c r="A588" s="22">
        <v>-4.6949999999999999E-6</v>
      </c>
      <c r="B588" s="22">
        <v>1.9350502291E-2</v>
      </c>
    </row>
    <row r="589" spans="1:2" x14ac:dyDescent="0.3">
      <c r="A589" s="22">
        <v>-4.69E-6</v>
      </c>
      <c r="B589" s="22">
        <v>1.5330401831E-2</v>
      </c>
    </row>
    <row r="590" spans="1:2" x14ac:dyDescent="0.3">
      <c r="A590" s="22">
        <v>-4.685E-6</v>
      </c>
      <c r="B590" s="22">
        <v>1.8546482199E-2</v>
      </c>
    </row>
    <row r="591" spans="1:2" x14ac:dyDescent="0.3">
      <c r="A591" s="22">
        <v>-4.6800000000000001E-6</v>
      </c>
      <c r="B591" s="22">
        <v>1.6938442014999999E-2</v>
      </c>
    </row>
    <row r="592" spans="1:2" x14ac:dyDescent="0.3">
      <c r="A592" s="22">
        <v>-4.6750000000000001E-6</v>
      </c>
      <c r="B592" s="22">
        <v>1.6938442014999999E-2</v>
      </c>
    </row>
    <row r="593" spans="1:2" x14ac:dyDescent="0.3">
      <c r="A593" s="22">
        <v>-4.6700000000000002E-6</v>
      </c>
      <c r="B593" s="22">
        <v>1.7742462107E-2</v>
      </c>
    </row>
    <row r="594" spans="1:2" x14ac:dyDescent="0.3">
      <c r="A594" s="22">
        <v>-4.6650000000000002E-6</v>
      </c>
      <c r="B594" s="22">
        <v>1.6134421922999999E-2</v>
      </c>
    </row>
    <row r="595" spans="1:2" x14ac:dyDescent="0.3">
      <c r="A595" s="22">
        <v>-4.6600000000000003E-6</v>
      </c>
      <c r="B595" s="22">
        <v>1.7742462107E-2</v>
      </c>
    </row>
    <row r="596" spans="1:2" x14ac:dyDescent="0.3">
      <c r="A596" s="22">
        <v>-4.6550000000000003E-6</v>
      </c>
      <c r="B596" s="22">
        <v>1.6938442014999999E-2</v>
      </c>
    </row>
    <row r="597" spans="1:2" x14ac:dyDescent="0.3">
      <c r="A597" s="22">
        <v>-4.6500000000000004E-6</v>
      </c>
      <c r="B597" s="22">
        <v>1.3722361648E-2</v>
      </c>
    </row>
    <row r="598" spans="1:2" x14ac:dyDescent="0.3">
      <c r="A598" s="22">
        <v>-4.6450000000000004E-6</v>
      </c>
      <c r="B598" s="22">
        <v>1.6938442014999999E-2</v>
      </c>
    </row>
    <row r="599" spans="1:2" x14ac:dyDescent="0.3">
      <c r="A599" s="22">
        <v>-4.6399999999999996E-6</v>
      </c>
      <c r="B599" s="22">
        <v>1.2918341555999999E-2</v>
      </c>
    </row>
    <row r="600" spans="1:2" x14ac:dyDescent="0.3">
      <c r="A600" s="22">
        <v>-4.6349999999999997E-6</v>
      </c>
      <c r="B600" s="22">
        <v>1.8546482199E-2</v>
      </c>
    </row>
    <row r="601" spans="1:2" x14ac:dyDescent="0.3">
      <c r="A601" s="22">
        <v>-4.6299999999999997E-6</v>
      </c>
      <c r="B601" s="22">
        <v>1.6134421922999999E-2</v>
      </c>
    </row>
    <row r="602" spans="1:2" x14ac:dyDescent="0.3">
      <c r="A602" s="22">
        <v>-4.6249999999999998E-6</v>
      </c>
      <c r="B602" s="22">
        <v>1.7742462107E-2</v>
      </c>
    </row>
    <row r="603" spans="1:2" x14ac:dyDescent="0.3">
      <c r="A603" s="22">
        <v>-4.6199999999999998E-6</v>
      </c>
      <c r="B603" s="22">
        <v>1.2918341555999999E-2</v>
      </c>
    </row>
    <row r="604" spans="1:2" x14ac:dyDescent="0.3">
      <c r="A604" s="22">
        <v>-4.6149999999999999E-6</v>
      </c>
      <c r="B604" s="22">
        <v>1.3722361648E-2</v>
      </c>
    </row>
    <row r="605" spans="1:2" x14ac:dyDescent="0.3">
      <c r="A605" s="22">
        <v>-4.6099999999999999E-6</v>
      </c>
      <c r="B605" s="22">
        <v>1.5330401831E-2</v>
      </c>
    </row>
    <row r="606" spans="1:2" x14ac:dyDescent="0.3">
      <c r="A606" s="22">
        <v>-4.605E-6</v>
      </c>
      <c r="B606" s="22">
        <v>1.7742462107E-2</v>
      </c>
    </row>
    <row r="607" spans="1:2" x14ac:dyDescent="0.3">
      <c r="A607" s="22">
        <v>-4.6E-6</v>
      </c>
      <c r="B607" s="22">
        <v>1.6938442014999999E-2</v>
      </c>
    </row>
    <row r="608" spans="1:2" x14ac:dyDescent="0.3">
      <c r="A608" s="22">
        <v>-4.5950000000000001E-6</v>
      </c>
      <c r="B608" s="22">
        <v>1.8546482199E-2</v>
      </c>
    </row>
    <row r="609" spans="1:2" x14ac:dyDescent="0.3">
      <c r="A609" s="22">
        <v>-4.5900000000000001E-6</v>
      </c>
      <c r="B609" s="22">
        <v>1.3722361648E-2</v>
      </c>
    </row>
    <row r="610" spans="1:2" x14ac:dyDescent="0.3">
      <c r="A610" s="22">
        <v>-4.5850000000000001E-6</v>
      </c>
      <c r="B610" s="22">
        <v>1.9350502291E-2</v>
      </c>
    </row>
    <row r="611" spans="1:2" x14ac:dyDescent="0.3">
      <c r="A611" s="22">
        <v>-4.5800000000000002E-6</v>
      </c>
      <c r="B611" s="22">
        <v>1.8546482199E-2</v>
      </c>
    </row>
    <row r="612" spans="1:2" x14ac:dyDescent="0.3">
      <c r="A612" s="22">
        <v>-4.5750000000000002E-6</v>
      </c>
      <c r="B612" s="22">
        <v>2.0154522383000001E-2</v>
      </c>
    </row>
    <row r="613" spans="1:2" x14ac:dyDescent="0.3">
      <c r="A613" s="22">
        <v>-4.5700000000000003E-6</v>
      </c>
      <c r="B613" s="22">
        <v>1.9350502291E-2</v>
      </c>
    </row>
    <row r="614" spans="1:2" x14ac:dyDescent="0.3">
      <c r="A614" s="22">
        <v>-4.5650000000000003E-6</v>
      </c>
      <c r="B614" s="22">
        <v>1.7742462107E-2</v>
      </c>
    </row>
    <row r="615" spans="1:2" x14ac:dyDescent="0.3">
      <c r="A615" s="22">
        <v>-4.5600000000000004E-6</v>
      </c>
      <c r="B615" s="22">
        <v>2.0958542473999999E-2</v>
      </c>
    </row>
    <row r="616" spans="1:2" x14ac:dyDescent="0.3">
      <c r="A616" s="22">
        <v>-4.5549999999999996E-6</v>
      </c>
      <c r="B616" s="22">
        <v>2.0958542475000001E-2</v>
      </c>
    </row>
    <row r="617" spans="1:2" x14ac:dyDescent="0.3">
      <c r="A617" s="22">
        <v>-4.5499999999999996E-6</v>
      </c>
      <c r="B617" s="22">
        <v>2.0958542473999999E-2</v>
      </c>
    </row>
    <row r="618" spans="1:2" x14ac:dyDescent="0.3">
      <c r="A618" s="22">
        <v>-4.5449999999999997E-6</v>
      </c>
      <c r="B618" s="22">
        <v>2.0154522383000001E-2</v>
      </c>
    </row>
    <row r="619" spans="1:2" x14ac:dyDescent="0.3">
      <c r="A619" s="22">
        <v>-4.5399999999999997E-6</v>
      </c>
      <c r="B619" s="22">
        <v>2.4978642934000001E-2</v>
      </c>
    </row>
    <row r="620" spans="1:2" x14ac:dyDescent="0.3">
      <c r="A620" s="22">
        <v>-4.5349999999999998E-6</v>
      </c>
      <c r="B620" s="22">
        <v>2.4174622842000001E-2</v>
      </c>
    </row>
    <row r="621" spans="1:2" x14ac:dyDescent="0.3">
      <c r="A621" s="22">
        <v>-4.5299999999999998E-6</v>
      </c>
      <c r="B621" s="22">
        <v>1.8546482199E-2</v>
      </c>
    </row>
    <row r="622" spans="1:2" x14ac:dyDescent="0.3">
      <c r="A622" s="22">
        <v>-4.5249999999999999E-6</v>
      </c>
      <c r="B622" s="22">
        <v>2.2566582658E-2</v>
      </c>
    </row>
    <row r="623" spans="1:2" x14ac:dyDescent="0.3">
      <c r="A623" s="22">
        <v>-4.5199999999999999E-6</v>
      </c>
      <c r="B623" s="22">
        <v>2.1762562566E-2</v>
      </c>
    </row>
    <row r="624" spans="1:2" x14ac:dyDescent="0.3">
      <c r="A624" s="22">
        <v>-4.515E-6</v>
      </c>
      <c r="B624" s="22">
        <v>2.337060275E-2</v>
      </c>
    </row>
    <row r="625" spans="1:4" x14ac:dyDescent="0.3">
      <c r="A625" s="22">
        <v>-4.51E-6</v>
      </c>
      <c r="B625" s="22">
        <v>2.4978642934000001E-2</v>
      </c>
    </row>
    <row r="626" spans="1:4" x14ac:dyDescent="0.3">
      <c r="A626" s="22">
        <v>-4.5050000000000001E-6</v>
      </c>
      <c r="B626" s="22">
        <v>2.2566582658E-2</v>
      </c>
      <c r="D626" s="22"/>
    </row>
    <row r="627" spans="1:4" x14ac:dyDescent="0.3">
      <c r="A627" s="22">
        <v>-4.5000000000000001E-6</v>
      </c>
      <c r="B627" s="22">
        <v>2.0958542475000001E-2</v>
      </c>
    </row>
    <row r="628" spans="1:4" x14ac:dyDescent="0.3">
      <c r="A628" s="22">
        <v>-4.4950000000000002E-6</v>
      </c>
      <c r="B628" s="22">
        <v>2.337060275E-2</v>
      </c>
    </row>
    <row r="629" spans="1:4" x14ac:dyDescent="0.3">
      <c r="A629" s="22">
        <v>-4.4900000000000002E-6</v>
      </c>
      <c r="B629" s="22">
        <v>2.1762562567000002E-2</v>
      </c>
    </row>
    <row r="630" spans="1:4" x14ac:dyDescent="0.3">
      <c r="A630" s="22">
        <v>-4.4850000000000003E-6</v>
      </c>
      <c r="B630" s="22">
        <v>2.0154522383000001E-2</v>
      </c>
    </row>
    <row r="631" spans="1:4" x14ac:dyDescent="0.3">
      <c r="A631" s="22">
        <v>-4.4800000000000003E-6</v>
      </c>
      <c r="B631" s="22">
        <v>2.0958542475000001E-2</v>
      </c>
    </row>
    <row r="632" spans="1:4" x14ac:dyDescent="0.3">
      <c r="A632" s="22">
        <v>-4.4750000000000004E-6</v>
      </c>
      <c r="B632" s="22">
        <v>2.1762562566E-2</v>
      </c>
    </row>
    <row r="633" spans="1:4" x14ac:dyDescent="0.3">
      <c r="A633" s="22">
        <v>-4.4700000000000004E-6</v>
      </c>
      <c r="B633" s="22">
        <v>2.4174622842000001E-2</v>
      </c>
    </row>
    <row r="634" spans="1:4" x14ac:dyDescent="0.3">
      <c r="A634" s="22">
        <v>-4.4649999999999996E-6</v>
      </c>
      <c r="B634" s="22">
        <v>2.337060275E-2</v>
      </c>
    </row>
    <row r="635" spans="1:4" x14ac:dyDescent="0.3">
      <c r="A635" s="22">
        <v>-4.4599999999999996E-6</v>
      </c>
      <c r="B635" s="22">
        <v>2.337060275E-2</v>
      </c>
    </row>
    <row r="636" spans="1:4" x14ac:dyDescent="0.3">
      <c r="A636" s="22">
        <v>-4.4549999999999997E-6</v>
      </c>
      <c r="B636" s="22">
        <v>2.1762562566E-2</v>
      </c>
    </row>
    <row r="637" spans="1:4" x14ac:dyDescent="0.3">
      <c r="A637" s="22">
        <v>-4.4499999999999997E-6</v>
      </c>
      <c r="B637" s="22">
        <v>1.6938442014999999E-2</v>
      </c>
    </row>
    <row r="638" spans="1:4" x14ac:dyDescent="0.3">
      <c r="A638" s="22">
        <v>-4.4449999999999998E-6</v>
      </c>
      <c r="B638" s="22">
        <v>2.4978642934000001E-2</v>
      </c>
    </row>
    <row r="639" spans="1:4" x14ac:dyDescent="0.3">
      <c r="A639" s="22">
        <v>-4.4399999999999998E-6</v>
      </c>
      <c r="B639" s="22">
        <v>2.2566582658E-2</v>
      </c>
    </row>
    <row r="640" spans="1:4" x14ac:dyDescent="0.3">
      <c r="A640" s="22">
        <v>-4.4349999999999999E-6</v>
      </c>
      <c r="B640" s="22">
        <v>2.337060275E-2</v>
      </c>
    </row>
    <row r="641" spans="1:2" x14ac:dyDescent="0.3">
      <c r="A641" s="22">
        <v>-4.4299999999999999E-6</v>
      </c>
      <c r="B641" s="22">
        <v>2.337060275E-2</v>
      </c>
    </row>
    <row r="642" spans="1:2" x14ac:dyDescent="0.3">
      <c r="A642" s="22">
        <v>-4.425E-6</v>
      </c>
      <c r="B642" s="22">
        <v>2.1762562566E-2</v>
      </c>
    </row>
    <row r="643" spans="1:2" x14ac:dyDescent="0.3">
      <c r="A643" s="22">
        <v>-4.42E-6</v>
      </c>
      <c r="B643" s="22">
        <v>2.1762562566E-2</v>
      </c>
    </row>
    <row r="644" spans="1:2" x14ac:dyDescent="0.3">
      <c r="A644" s="22">
        <v>-4.4150000000000001E-6</v>
      </c>
      <c r="B644" s="22">
        <v>2.5782663026000002E-2</v>
      </c>
    </row>
    <row r="645" spans="1:2" x14ac:dyDescent="0.3">
      <c r="A645" s="22">
        <v>-4.4100000000000001E-6</v>
      </c>
      <c r="B645" s="22">
        <v>2.337060275E-2</v>
      </c>
    </row>
    <row r="646" spans="1:2" x14ac:dyDescent="0.3">
      <c r="A646" s="22">
        <v>-4.4050000000000002E-6</v>
      </c>
      <c r="B646" s="22">
        <v>2.5782663026000002E-2</v>
      </c>
    </row>
    <row r="647" spans="1:2" x14ac:dyDescent="0.3">
      <c r="A647" s="22">
        <v>-4.4000000000000002E-6</v>
      </c>
      <c r="B647" s="22">
        <v>2.5782663026000002E-2</v>
      </c>
    </row>
    <row r="648" spans="1:2" x14ac:dyDescent="0.3">
      <c r="A648" s="22">
        <v>-4.3950000000000003E-6</v>
      </c>
      <c r="B648" s="22">
        <v>2.5782663026000002E-2</v>
      </c>
    </row>
    <row r="649" spans="1:2" x14ac:dyDescent="0.3">
      <c r="A649" s="22">
        <v>-4.3900000000000003E-6</v>
      </c>
      <c r="B649" s="22">
        <v>2.1762562566E-2</v>
      </c>
    </row>
    <row r="650" spans="1:2" x14ac:dyDescent="0.3">
      <c r="A650" s="22">
        <v>-4.3850000000000004E-6</v>
      </c>
      <c r="B650" s="22">
        <v>2.1762562566E-2</v>
      </c>
    </row>
    <row r="651" spans="1:2" x14ac:dyDescent="0.3">
      <c r="A651" s="22">
        <v>-4.3800000000000004E-6</v>
      </c>
      <c r="B651" s="22">
        <v>2.7390703209999999E-2</v>
      </c>
    </row>
    <row r="652" spans="1:2" x14ac:dyDescent="0.3">
      <c r="A652" s="22">
        <v>-4.3749999999999996E-6</v>
      </c>
      <c r="B652" s="22">
        <v>2.5782663026000002E-2</v>
      </c>
    </row>
    <row r="653" spans="1:2" x14ac:dyDescent="0.3">
      <c r="A653" s="22">
        <v>-4.3699999999999997E-6</v>
      </c>
      <c r="B653" s="22">
        <v>2.4174622842000001E-2</v>
      </c>
    </row>
    <row r="654" spans="1:2" x14ac:dyDescent="0.3">
      <c r="A654" s="22">
        <v>-4.3649999999999997E-6</v>
      </c>
      <c r="B654" s="22">
        <v>2.6586683117999999E-2</v>
      </c>
    </row>
    <row r="655" spans="1:2" x14ac:dyDescent="0.3">
      <c r="A655" s="22">
        <v>-4.3599999999999998E-6</v>
      </c>
      <c r="B655" s="22">
        <v>2.5782663026000002E-2</v>
      </c>
    </row>
    <row r="656" spans="1:2" x14ac:dyDescent="0.3">
      <c r="A656" s="22">
        <v>-4.3549999999999998E-6</v>
      </c>
      <c r="B656" s="22">
        <v>2.8194723301000001E-2</v>
      </c>
    </row>
    <row r="657" spans="1:2" x14ac:dyDescent="0.3">
      <c r="A657" s="22">
        <v>-4.3499999999999999E-6</v>
      </c>
      <c r="B657" s="22">
        <v>2.7390703209999999E-2</v>
      </c>
    </row>
    <row r="658" spans="1:2" x14ac:dyDescent="0.3">
      <c r="A658" s="22">
        <v>-4.3449999999999999E-6</v>
      </c>
      <c r="B658" s="22">
        <v>2.7390703209999999E-2</v>
      </c>
    </row>
    <row r="659" spans="1:2" x14ac:dyDescent="0.3">
      <c r="A659" s="22">
        <v>-4.34E-6</v>
      </c>
      <c r="B659" s="22">
        <v>2.9802763485000001E-2</v>
      </c>
    </row>
    <row r="660" spans="1:2" x14ac:dyDescent="0.3">
      <c r="A660" s="22">
        <v>-4.335E-6</v>
      </c>
      <c r="B660" s="22">
        <v>2.9802763485000001E-2</v>
      </c>
    </row>
    <row r="661" spans="1:2" x14ac:dyDescent="0.3">
      <c r="A661" s="22">
        <v>-4.33E-6</v>
      </c>
      <c r="B661" s="22">
        <v>2.8194723301999999E-2</v>
      </c>
    </row>
    <row r="662" spans="1:2" x14ac:dyDescent="0.3">
      <c r="A662" s="22">
        <v>-4.3250000000000001E-6</v>
      </c>
      <c r="B662" s="22">
        <v>2.8998743394E-2</v>
      </c>
    </row>
    <row r="663" spans="1:2" x14ac:dyDescent="0.3">
      <c r="A663" s="22">
        <v>-4.3200000000000001E-6</v>
      </c>
      <c r="B663" s="22">
        <v>2.8194723301999999E-2</v>
      </c>
    </row>
    <row r="664" spans="1:2" x14ac:dyDescent="0.3">
      <c r="A664" s="22">
        <v>-4.3150000000000002E-6</v>
      </c>
      <c r="B664" s="22">
        <v>2.8194723301000001E-2</v>
      </c>
    </row>
    <row r="665" spans="1:2" x14ac:dyDescent="0.3">
      <c r="A665" s="22">
        <v>-4.3100000000000002E-6</v>
      </c>
      <c r="B665" s="22">
        <v>2.8998743393000001E-2</v>
      </c>
    </row>
    <row r="666" spans="1:2" x14ac:dyDescent="0.3">
      <c r="A666" s="22">
        <v>-4.3050000000000003E-6</v>
      </c>
      <c r="B666" s="22">
        <v>2.8998743393000001E-2</v>
      </c>
    </row>
    <row r="667" spans="1:2" x14ac:dyDescent="0.3">
      <c r="A667" s="22">
        <v>-4.3000000000000003E-6</v>
      </c>
      <c r="B667" s="22">
        <v>2.8194723301000001E-2</v>
      </c>
    </row>
    <row r="668" spans="1:2" x14ac:dyDescent="0.3">
      <c r="A668" s="22">
        <v>-4.2950000000000004E-6</v>
      </c>
      <c r="B668" s="22">
        <v>3.0606783576999998E-2</v>
      </c>
    </row>
    <row r="669" spans="1:2" x14ac:dyDescent="0.3">
      <c r="A669" s="22">
        <v>-4.2899999999999996E-6</v>
      </c>
      <c r="B669" s="22">
        <v>2.8998743393000001E-2</v>
      </c>
    </row>
    <row r="670" spans="1:2" x14ac:dyDescent="0.3">
      <c r="A670" s="22">
        <v>-4.2849999999999996E-6</v>
      </c>
      <c r="B670" s="22">
        <v>2.7390703209999999E-2</v>
      </c>
    </row>
    <row r="671" spans="1:2" x14ac:dyDescent="0.3">
      <c r="A671" s="22">
        <v>-4.2799999999999997E-6</v>
      </c>
      <c r="B671" s="22">
        <v>2.9802763485000001E-2</v>
      </c>
    </row>
    <row r="672" spans="1:2" x14ac:dyDescent="0.3">
      <c r="A672" s="22">
        <v>-4.2749999999999997E-6</v>
      </c>
      <c r="B672" s="22">
        <v>2.4978642934000001E-2</v>
      </c>
    </row>
    <row r="673" spans="1:2" x14ac:dyDescent="0.3">
      <c r="A673" s="22">
        <v>-4.2699999999999998E-6</v>
      </c>
      <c r="B673" s="22">
        <v>2.6586683117999999E-2</v>
      </c>
    </row>
    <row r="674" spans="1:2" x14ac:dyDescent="0.3">
      <c r="A674" s="22">
        <v>-4.2649999999999998E-6</v>
      </c>
      <c r="B674" s="22">
        <v>2.8194723301999999E-2</v>
      </c>
    </row>
    <row r="675" spans="1:2" x14ac:dyDescent="0.3">
      <c r="A675" s="22">
        <v>-4.2599999999999999E-6</v>
      </c>
      <c r="B675" s="22">
        <v>2.8194723301999999E-2</v>
      </c>
    </row>
    <row r="676" spans="1:2" x14ac:dyDescent="0.3">
      <c r="A676" s="22">
        <v>-4.2549999999999999E-6</v>
      </c>
      <c r="B676" s="22">
        <v>2.8194723301000001E-2</v>
      </c>
    </row>
    <row r="677" spans="1:2" x14ac:dyDescent="0.3">
      <c r="A677" s="22">
        <v>-4.25E-6</v>
      </c>
      <c r="B677" s="22">
        <v>3.0606783576999998E-2</v>
      </c>
    </row>
    <row r="678" spans="1:2" x14ac:dyDescent="0.3">
      <c r="A678" s="22">
        <v>-4.245E-6</v>
      </c>
      <c r="B678" s="22">
        <v>2.8998743394E-2</v>
      </c>
    </row>
    <row r="679" spans="1:2" x14ac:dyDescent="0.3">
      <c r="A679" s="22">
        <v>-4.2400000000000001E-6</v>
      </c>
      <c r="B679" s="22">
        <v>2.7390703209999999E-2</v>
      </c>
    </row>
    <row r="680" spans="1:2" x14ac:dyDescent="0.3">
      <c r="A680" s="22">
        <v>-4.2350000000000001E-6</v>
      </c>
      <c r="B680" s="22">
        <v>2.9802763485000001E-2</v>
      </c>
    </row>
    <row r="681" spans="1:2" x14ac:dyDescent="0.3">
      <c r="A681" s="22">
        <v>-4.2300000000000002E-6</v>
      </c>
      <c r="B681" s="22">
        <v>2.7390703209999999E-2</v>
      </c>
    </row>
    <row r="682" spans="1:2" x14ac:dyDescent="0.3">
      <c r="A682" s="22">
        <v>-4.2250000000000002E-6</v>
      </c>
      <c r="B682" s="22">
        <v>2.8998743393000001E-2</v>
      </c>
    </row>
    <row r="683" spans="1:2" x14ac:dyDescent="0.3">
      <c r="A683" s="22">
        <v>-4.2200000000000003E-6</v>
      </c>
      <c r="B683" s="22">
        <v>2.9802763485000001E-2</v>
      </c>
    </row>
    <row r="684" spans="1:2" x14ac:dyDescent="0.3">
      <c r="A684" s="22">
        <v>-4.2150000000000003E-6</v>
      </c>
      <c r="B684" s="22">
        <v>2.6586683117999999E-2</v>
      </c>
    </row>
    <row r="685" spans="1:2" x14ac:dyDescent="0.3">
      <c r="A685" s="22">
        <v>-4.2100000000000003E-6</v>
      </c>
      <c r="B685" s="22">
        <v>2.8998743394E-2</v>
      </c>
    </row>
    <row r="686" spans="1:2" x14ac:dyDescent="0.3">
      <c r="A686" s="22">
        <v>-4.2050000000000004E-6</v>
      </c>
      <c r="B686" s="22">
        <v>2.9802763485000001E-2</v>
      </c>
    </row>
    <row r="687" spans="1:2" x14ac:dyDescent="0.3">
      <c r="A687" s="22">
        <v>-4.1999999999999996E-6</v>
      </c>
      <c r="B687" s="22">
        <v>2.8998743393000001E-2</v>
      </c>
    </row>
    <row r="688" spans="1:2" x14ac:dyDescent="0.3">
      <c r="A688" s="22">
        <v>-4.1949999999999996E-6</v>
      </c>
      <c r="B688" s="22">
        <v>2.9802763485000001E-2</v>
      </c>
    </row>
    <row r="689" spans="1:2" x14ac:dyDescent="0.3">
      <c r="A689" s="22">
        <v>-4.1899999999999997E-6</v>
      </c>
      <c r="B689" s="22">
        <v>2.8194723301999999E-2</v>
      </c>
    </row>
    <row r="690" spans="1:2" x14ac:dyDescent="0.3">
      <c r="A690" s="22">
        <v>-4.1849999999999997E-6</v>
      </c>
      <c r="B690" s="22">
        <v>2.9802763485000001E-2</v>
      </c>
    </row>
    <row r="691" spans="1:2" x14ac:dyDescent="0.3">
      <c r="A691" s="22">
        <v>-4.1799999999999998E-6</v>
      </c>
      <c r="B691" s="22">
        <v>3.0606783576999998E-2</v>
      </c>
    </row>
    <row r="692" spans="1:2" x14ac:dyDescent="0.3">
      <c r="A692" s="22">
        <v>-4.1749999999999998E-6</v>
      </c>
      <c r="B692" s="22">
        <v>3.0606783576999998E-2</v>
      </c>
    </row>
    <row r="693" spans="1:2" x14ac:dyDescent="0.3">
      <c r="A693" s="22">
        <v>-4.1699999999999999E-6</v>
      </c>
      <c r="B693" s="22">
        <v>2.8194723301000001E-2</v>
      </c>
    </row>
    <row r="694" spans="1:2" x14ac:dyDescent="0.3">
      <c r="A694" s="22">
        <v>-4.1649999999999999E-6</v>
      </c>
      <c r="B694" s="22">
        <v>3.0606783576999998E-2</v>
      </c>
    </row>
    <row r="695" spans="1:2" x14ac:dyDescent="0.3">
      <c r="A695" s="22">
        <v>-4.16E-6</v>
      </c>
      <c r="B695" s="22">
        <v>2.7390703209999999E-2</v>
      </c>
    </row>
    <row r="696" spans="1:2" x14ac:dyDescent="0.3">
      <c r="A696" s="22">
        <v>-4.155E-6</v>
      </c>
      <c r="B696" s="22">
        <v>2.8998743393000001E-2</v>
      </c>
    </row>
    <row r="697" spans="1:2" x14ac:dyDescent="0.3">
      <c r="A697" s="22">
        <v>-4.1500000000000001E-6</v>
      </c>
      <c r="B697" s="22">
        <v>2.6586683117999999E-2</v>
      </c>
    </row>
    <row r="698" spans="1:2" x14ac:dyDescent="0.3">
      <c r="A698" s="22">
        <v>-4.1450000000000001E-6</v>
      </c>
      <c r="B698" s="22">
        <v>2.9802763485000001E-2</v>
      </c>
    </row>
    <row r="699" spans="1:2" x14ac:dyDescent="0.3">
      <c r="A699" s="22">
        <v>-4.1400000000000002E-6</v>
      </c>
      <c r="B699" s="22">
        <v>2.8194723301999999E-2</v>
      </c>
    </row>
    <row r="700" spans="1:2" x14ac:dyDescent="0.3">
      <c r="A700" s="22">
        <v>-4.1350000000000002E-6</v>
      </c>
      <c r="B700" s="22">
        <v>2.8998743393000001E-2</v>
      </c>
    </row>
    <row r="701" spans="1:2" x14ac:dyDescent="0.3">
      <c r="A701" s="22">
        <v>-4.1300000000000003E-6</v>
      </c>
      <c r="B701" s="22">
        <v>2.8194723301999999E-2</v>
      </c>
    </row>
    <row r="702" spans="1:2" x14ac:dyDescent="0.3">
      <c r="A702" s="22">
        <v>-4.1250000000000003E-6</v>
      </c>
      <c r="B702" s="22">
        <v>2.9802763485000001E-2</v>
      </c>
    </row>
    <row r="703" spans="1:2" x14ac:dyDescent="0.3">
      <c r="A703" s="22">
        <v>-4.1200000000000004E-6</v>
      </c>
      <c r="B703" s="22">
        <v>2.5782663026000002E-2</v>
      </c>
    </row>
    <row r="704" spans="1:2" x14ac:dyDescent="0.3">
      <c r="A704" s="22">
        <v>-4.1150000000000004E-6</v>
      </c>
      <c r="B704" s="22">
        <v>2.9802763485000001E-2</v>
      </c>
    </row>
    <row r="705" spans="1:2" x14ac:dyDescent="0.3">
      <c r="A705" s="22">
        <v>-4.1099999999999996E-6</v>
      </c>
      <c r="B705" s="22">
        <v>2.8194723301999999E-2</v>
      </c>
    </row>
    <row r="706" spans="1:2" x14ac:dyDescent="0.3">
      <c r="A706" s="22">
        <v>-4.1049999999999997E-6</v>
      </c>
      <c r="B706" s="22">
        <v>2.9802763485000001E-2</v>
      </c>
    </row>
    <row r="707" spans="1:2" x14ac:dyDescent="0.3">
      <c r="A707" s="22">
        <v>-4.0999999999999997E-6</v>
      </c>
      <c r="B707" s="22">
        <v>2.7390703209999999E-2</v>
      </c>
    </row>
    <row r="708" spans="1:2" x14ac:dyDescent="0.3">
      <c r="A708" s="22">
        <v>-4.0949999999999998E-6</v>
      </c>
      <c r="B708" s="22">
        <v>2.8998743393000001E-2</v>
      </c>
    </row>
    <row r="709" spans="1:2" x14ac:dyDescent="0.3">
      <c r="A709" s="22">
        <v>-4.0899999999999998E-6</v>
      </c>
      <c r="B709" s="22">
        <v>2.8998743393000001E-2</v>
      </c>
    </row>
    <row r="710" spans="1:2" x14ac:dyDescent="0.3">
      <c r="A710" s="22">
        <v>-4.0849999999999999E-6</v>
      </c>
      <c r="B710" s="22">
        <v>2.8998743394E-2</v>
      </c>
    </row>
    <row r="711" spans="1:2" x14ac:dyDescent="0.3">
      <c r="A711" s="22">
        <v>-4.0799999999999999E-6</v>
      </c>
      <c r="B711" s="22">
        <v>2.8194723301999999E-2</v>
      </c>
    </row>
    <row r="712" spans="1:2" x14ac:dyDescent="0.3">
      <c r="A712" s="22">
        <v>-4.0749999999999999E-6</v>
      </c>
      <c r="B712" s="22">
        <v>2.7390703209999999E-2</v>
      </c>
    </row>
    <row r="713" spans="1:2" x14ac:dyDescent="0.3">
      <c r="A713" s="22">
        <v>-4.07E-6</v>
      </c>
      <c r="B713" s="22">
        <v>2.9802763485000001E-2</v>
      </c>
    </row>
    <row r="714" spans="1:2" x14ac:dyDescent="0.3">
      <c r="A714" s="22">
        <v>-4.065E-6</v>
      </c>
      <c r="B714" s="22">
        <v>2.7390703209999999E-2</v>
      </c>
    </row>
    <row r="715" spans="1:2" x14ac:dyDescent="0.3">
      <c r="A715" s="22">
        <v>-4.0600000000000001E-6</v>
      </c>
      <c r="B715" s="22">
        <v>2.7390703209999999E-2</v>
      </c>
    </row>
    <row r="716" spans="1:2" x14ac:dyDescent="0.3">
      <c r="A716" s="22">
        <v>-4.0550000000000001E-6</v>
      </c>
      <c r="B716" s="22">
        <v>2.8998743393000001E-2</v>
      </c>
    </row>
    <row r="717" spans="1:2" x14ac:dyDescent="0.3">
      <c r="A717" s="22">
        <v>-4.0500000000000002E-6</v>
      </c>
      <c r="B717" s="22">
        <v>2.9802763485000001E-2</v>
      </c>
    </row>
    <row r="718" spans="1:2" x14ac:dyDescent="0.3">
      <c r="A718" s="22">
        <v>-4.0450000000000002E-6</v>
      </c>
      <c r="B718" s="22">
        <v>2.7390703209999999E-2</v>
      </c>
    </row>
    <row r="719" spans="1:2" x14ac:dyDescent="0.3">
      <c r="A719" s="22">
        <v>-4.0400000000000003E-6</v>
      </c>
      <c r="B719" s="22">
        <v>2.7390703209999999E-2</v>
      </c>
    </row>
    <row r="720" spans="1:2" x14ac:dyDescent="0.3">
      <c r="A720" s="22">
        <v>-4.0350000000000003E-6</v>
      </c>
      <c r="B720" s="22">
        <v>2.8194723301999999E-2</v>
      </c>
    </row>
    <row r="721" spans="1:2" x14ac:dyDescent="0.3">
      <c r="A721" s="22">
        <v>-4.0300000000000004E-6</v>
      </c>
      <c r="B721" s="22">
        <v>2.9802763485000001E-2</v>
      </c>
    </row>
    <row r="722" spans="1:2" x14ac:dyDescent="0.3">
      <c r="A722" s="22">
        <v>-4.0249999999999996E-6</v>
      </c>
      <c r="B722" s="22">
        <v>3.1410803669000002E-2</v>
      </c>
    </row>
    <row r="723" spans="1:2" x14ac:dyDescent="0.3">
      <c r="A723" s="22">
        <v>-4.0199999999999996E-6</v>
      </c>
      <c r="B723" s="22">
        <v>2.9802763485000001E-2</v>
      </c>
    </row>
    <row r="724" spans="1:2" x14ac:dyDescent="0.3">
      <c r="A724" s="22">
        <v>-4.0149999999999997E-6</v>
      </c>
      <c r="B724" s="22">
        <v>2.8998743393000001E-2</v>
      </c>
    </row>
    <row r="725" spans="1:2" x14ac:dyDescent="0.3">
      <c r="A725" s="22">
        <v>-4.0099999999999997E-6</v>
      </c>
      <c r="B725" s="22">
        <v>2.9802763485000001E-2</v>
      </c>
    </row>
    <row r="726" spans="1:2" x14ac:dyDescent="0.3">
      <c r="A726" s="22">
        <v>-4.0049999999999998E-6</v>
      </c>
      <c r="B726" s="22">
        <v>3.1410803669000002E-2</v>
      </c>
    </row>
    <row r="727" spans="1:2" x14ac:dyDescent="0.3">
      <c r="A727" s="22">
        <v>-3.9999999999999998E-6</v>
      </c>
      <c r="B727" s="22">
        <v>2.9802763485000001E-2</v>
      </c>
    </row>
    <row r="728" spans="1:2" x14ac:dyDescent="0.3">
      <c r="A728" s="22">
        <v>-3.9949999999999999E-6</v>
      </c>
      <c r="B728" s="22">
        <v>2.9802763485000001E-2</v>
      </c>
    </row>
    <row r="729" spans="1:2" x14ac:dyDescent="0.3">
      <c r="A729" s="22">
        <v>-3.9899999999999999E-6</v>
      </c>
      <c r="B729" s="22">
        <v>3.3822863944999997E-2</v>
      </c>
    </row>
    <row r="730" spans="1:2" x14ac:dyDescent="0.3">
      <c r="A730" s="22">
        <v>-3.985E-6</v>
      </c>
      <c r="B730" s="22">
        <v>3.2214823761000003E-2</v>
      </c>
    </row>
    <row r="731" spans="1:2" x14ac:dyDescent="0.3">
      <c r="A731" s="22">
        <v>-3.98E-6</v>
      </c>
      <c r="B731" s="22">
        <v>3.0606783576999998E-2</v>
      </c>
    </row>
    <row r="732" spans="1:2" x14ac:dyDescent="0.3">
      <c r="A732" s="22">
        <v>-3.9750000000000001E-6</v>
      </c>
      <c r="B732" s="22">
        <v>3.1410803669000002E-2</v>
      </c>
    </row>
    <row r="733" spans="1:2" x14ac:dyDescent="0.3">
      <c r="A733" s="22">
        <v>-3.9700000000000001E-6</v>
      </c>
      <c r="B733" s="22">
        <v>3.1410803669000002E-2</v>
      </c>
    </row>
    <row r="734" spans="1:2" x14ac:dyDescent="0.3">
      <c r="A734" s="22">
        <v>-3.9650000000000002E-6</v>
      </c>
      <c r="B734" s="22">
        <v>3.0606783576999998E-2</v>
      </c>
    </row>
    <row r="735" spans="1:2" x14ac:dyDescent="0.3">
      <c r="A735" s="22">
        <v>-3.9600000000000002E-6</v>
      </c>
      <c r="B735" s="22">
        <v>3.0606783576999998E-2</v>
      </c>
    </row>
    <row r="736" spans="1:2" x14ac:dyDescent="0.3">
      <c r="A736" s="22">
        <v>-3.9550000000000002E-6</v>
      </c>
      <c r="B736" s="22">
        <v>3.3018843853000003E-2</v>
      </c>
    </row>
    <row r="737" spans="1:2" x14ac:dyDescent="0.3">
      <c r="A737" s="22">
        <v>-3.9500000000000003E-6</v>
      </c>
      <c r="B737" s="22">
        <v>3.0606783576999998E-2</v>
      </c>
    </row>
    <row r="738" spans="1:2" x14ac:dyDescent="0.3">
      <c r="A738" s="22">
        <v>-3.9450000000000003E-6</v>
      </c>
      <c r="B738" s="22">
        <v>3.1410803669000002E-2</v>
      </c>
    </row>
    <row r="739" spans="1:2" x14ac:dyDescent="0.3">
      <c r="A739" s="22">
        <v>-3.9400000000000004E-6</v>
      </c>
      <c r="B739" s="22">
        <v>3.3018843853000003E-2</v>
      </c>
    </row>
    <row r="740" spans="1:2" x14ac:dyDescent="0.3">
      <c r="A740" s="22">
        <v>-3.9349999999999996E-6</v>
      </c>
      <c r="B740" s="22">
        <v>3.0606783576999998E-2</v>
      </c>
    </row>
    <row r="741" spans="1:2" x14ac:dyDescent="0.3">
      <c r="A741" s="22">
        <v>-3.9299999999999996E-6</v>
      </c>
      <c r="B741" s="22">
        <v>3.1410803669000002E-2</v>
      </c>
    </row>
    <row r="742" spans="1:2" x14ac:dyDescent="0.3">
      <c r="A742" s="22">
        <v>-3.9249999999999997E-6</v>
      </c>
      <c r="B742" s="22">
        <v>2.8194723301999999E-2</v>
      </c>
    </row>
    <row r="743" spans="1:2" x14ac:dyDescent="0.3">
      <c r="A743" s="22">
        <v>-3.9199999999999997E-6</v>
      </c>
      <c r="B743" s="22">
        <v>3.1410803669000002E-2</v>
      </c>
    </row>
    <row r="744" spans="1:2" x14ac:dyDescent="0.3">
      <c r="A744" s="22">
        <v>-3.9149999999999998E-6</v>
      </c>
      <c r="B744" s="22">
        <v>3.2214823761000003E-2</v>
      </c>
    </row>
    <row r="745" spans="1:2" x14ac:dyDescent="0.3">
      <c r="A745" s="22">
        <v>-3.9099999999999998E-6</v>
      </c>
      <c r="B745" s="22">
        <v>2.8998743394E-2</v>
      </c>
    </row>
    <row r="746" spans="1:2" x14ac:dyDescent="0.3">
      <c r="A746" s="22">
        <v>-3.9049999999999999E-6</v>
      </c>
      <c r="B746" s="22">
        <v>3.4626884036999997E-2</v>
      </c>
    </row>
    <row r="747" spans="1:2" x14ac:dyDescent="0.3">
      <c r="A747" s="22">
        <v>-3.8999999999999999E-6</v>
      </c>
      <c r="B747" s="22">
        <v>2.8998743393000001E-2</v>
      </c>
    </row>
    <row r="748" spans="1:2" x14ac:dyDescent="0.3">
      <c r="A748" s="22">
        <v>-3.895E-6</v>
      </c>
      <c r="B748" s="22">
        <v>3.4626884036999997E-2</v>
      </c>
    </row>
    <row r="749" spans="1:2" x14ac:dyDescent="0.3">
      <c r="A749" s="22">
        <v>-3.89E-6</v>
      </c>
      <c r="B749" s="22">
        <v>3.2214823761000003E-2</v>
      </c>
    </row>
    <row r="750" spans="1:2" x14ac:dyDescent="0.3">
      <c r="A750" s="22">
        <v>-3.8850000000000001E-6</v>
      </c>
      <c r="B750" s="22">
        <v>3.4626884036999997E-2</v>
      </c>
    </row>
    <row r="751" spans="1:2" x14ac:dyDescent="0.3">
      <c r="A751" s="22">
        <v>-3.8800000000000001E-6</v>
      </c>
      <c r="B751" s="22">
        <v>3.1410803669000002E-2</v>
      </c>
    </row>
    <row r="752" spans="1:2" x14ac:dyDescent="0.3">
      <c r="A752" s="22">
        <v>-3.8750000000000002E-6</v>
      </c>
      <c r="B752" s="22">
        <v>2.9802763485000001E-2</v>
      </c>
    </row>
    <row r="753" spans="1:2" x14ac:dyDescent="0.3">
      <c r="A753" s="22">
        <v>-3.8700000000000002E-6</v>
      </c>
      <c r="B753" s="22">
        <v>3.0606783576999998E-2</v>
      </c>
    </row>
    <row r="754" spans="1:2" x14ac:dyDescent="0.3">
      <c r="A754" s="22">
        <v>-3.8650000000000003E-6</v>
      </c>
      <c r="B754" s="22">
        <v>3.3018843853000003E-2</v>
      </c>
    </row>
    <row r="755" spans="1:2" x14ac:dyDescent="0.3">
      <c r="A755" s="22">
        <v>-3.8600000000000003E-6</v>
      </c>
      <c r="B755" s="22">
        <v>3.3822863944999997E-2</v>
      </c>
    </row>
    <row r="756" spans="1:2" x14ac:dyDescent="0.3">
      <c r="A756" s="22">
        <v>-3.8550000000000004E-6</v>
      </c>
      <c r="B756" s="22">
        <v>3.0606783576999998E-2</v>
      </c>
    </row>
    <row r="757" spans="1:2" x14ac:dyDescent="0.3">
      <c r="A757" s="22">
        <v>-3.8500000000000004E-6</v>
      </c>
      <c r="B757" s="22">
        <v>3.4626884036999997E-2</v>
      </c>
    </row>
    <row r="758" spans="1:2" x14ac:dyDescent="0.3">
      <c r="A758" s="22">
        <v>-3.8449999999999996E-6</v>
      </c>
      <c r="B758" s="22">
        <v>3.2214823761000003E-2</v>
      </c>
    </row>
    <row r="759" spans="1:2" x14ac:dyDescent="0.3">
      <c r="A759" s="22">
        <v>-3.8399999999999997E-6</v>
      </c>
      <c r="B759" s="22">
        <v>3.1410803669000002E-2</v>
      </c>
    </row>
    <row r="760" spans="1:2" x14ac:dyDescent="0.3">
      <c r="A760" s="22">
        <v>-3.8349999999999997E-6</v>
      </c>
      <c r="B760" s="22">
        <v>2.9802763485000001E-2</v>
      </c>
    </row>
    <row r="761" spans="1:2" x14ac:dyDescent="0.3">
      <c r="A761" s="22">
        <v>-3.8299999999999998E-6</v>
      </c>
      <c r="B761" s="22">
        <v>3.3822863944999997E-2</v>
      </c>
    </row>
    <row r="762" spans="1:2" x14ac:dyDescent="0.3">
      <c r="A762" s="22">
        <v>-3.8249999999999998E-6</v>
      </c>
      <c r="B762" s="22">
        <v>3.3018843853000003E-2</v>
      </c>
    </row>
    <row r="763" spans="1:2" x14ac:dyDescent="0.3">
      <c r="A763" s="22">
        <v>-3.8199999999999998E-6</v>
      </c>
      <c r="B763" s="22">
        <v>2.9802763485000001E-2</v>
      </c>
    </row>
    <row r="764" spans="1:2" x14ac:dyDescent="0.3">
      <c r="A764" s="22">
        <v>-3.8149999999999999E-6</v>
      </c>
      <c r="B764" s="22">
        <v>3.3018843853000003E-2</v>
      </c>
    </row>
    <row r="765" spans="1:2" x14ac:dyDescent="0.3">
      <c r="A765" s="22">
        <v>-3.8099999999999999E-6</v>
      </c>
      <c r="B765" s="22">
        <v>2.9802763485000001E-2</v>
      </c>
    </row>
    <row r="766" spans="1:2" x14ac:dyDescent="0.3">
      <c r="A766" s="22">
        <v>-3.805E-6</v>
      </c>
      <c r="B766" s="22">
        <v>3.2214823761000003E-2</v>
      </c>
    </row>
    <row r="767" spans="1:2" x14ac:dyDescent="0.3">
      <c r="A767" s="22">
        <v>-3.8E-6</v>
      </c>
      <c r="B767" s="22">
        <v>3.2214823761000003E-2</v>
      </c>
    </row>
    <row r="768" spans="1:2" x14ac:dyDescent="0.3">
      <c r="A768" s="22">
        <v>-3.7950000000000001E-6</v>
      </c>
      <c r="B768" s="22">
        <v>3.1410803669000002E-2</v>
      </c>
    </row>
    <row r="769" spans="1:2" x14ac:dyDescent="0.3">
      <c r="A769" s="22">
        <v>-3.7900000000000001E-6</v>
      </c>
      <c r="B769" s="22">
        <v>3.1410803669000002E-2</v>
      </c>
    </row>
    <row r="770" spans="1:2" x14ac:dyDescent="0.3">
      <c r="A770" s="22">
        <v>-3.7850000000000002E-6</v>
      </c>
      <c r="B770" s="22">
        <v>3.1410803669000002E-2</v>
      </c>
    </row>
    <row r="771" spans="1:2" x14ac:dyDescent="0.3">
      <c r="A771" s="22">
        <v>-3.7799999999999998E-6</v>
      </c>
      <c r="B771" s="22">
        <v>3.3018843853000003E-2</v>
      </c>
    </row>
    <row r="772" spans="1:2" x14ac:dyDescent="0.3">
      <c r="A772" s="22">
        <v>-3.7749999999999999E-6</v>
      </c>
      <c r="B772" s="22">
        <v>3.3018843853000003E-2</v>
      </c>
    </row>
    <row r="773" spans="1:2" x14ac:dyDescent="0.3">
      <c r="A773" s="22">
        <v>-3.7699999999999999E-6</v>
      </c>
      <c r="B773" s="22">
        <v>3.3822863944999997E-2</v>
      </c>
    </row>
    <row r="774" spans="1:2" x14ac:dyDescent="0.3">
      <c r="A774" s="22">
        <v>-3.765E-6</v>
      </c>
      <c r="B774" s="22">
        <v>3.0606783576999998E-2</v>
      </c>
    </row>
    <row r="775" spans="1:2" x14ac:dyDescent="0.3">
      <c r="A775" s="22">
        <v>-3.76E-6</v>
      </c>
      <c r="B775" s="22">
        <v>3.3018843853000003E-2</v>
      </c>
    </row>
    <row r="776" spans="1:2" x14ac:dyDescent="0.3">
      <c r="A776" s="22">
        <v>-3.755E-6</v>
      </c>
      <c r="B776" s="22">
        <v>3.3018843853000003E-2</v>
      </c>
    </row>
    <row r="777" spans="1:2" x14ac:dyDescent="0.3">
      <c r="A777" s="22">
        <v>-3.7500000000000001E-6</v>
      </c>
      <c r="B777" s="22">
        <v>2.9802763485000001E-2</v>
      </c>
    </row>
    <row r="778" spans="1:2" x14ac:dyDescent="0.3">
      <c r="A778" s="22">
        <v>-3.7450000000000001E-6</v>
      </c>
      <c r="B778" s="22">
        <v>3.2214823761000003E-2</v>
      </c>
    </row>
    <row r="779" spans="1:2" x14ac:dyDescent="0.3">
      <c r="A779" s="22">
        <v>-3.7400000000000002E-6</v>
      </c>
      <c r="B779" s="22">
        <v>3.4626884036999997E-2</v>
      </c>
    </row>
    <row r="780" spans="1:2" x14ac:dyDescent="0.3">
      <c r="A780" s="22">
        <v>-3.7349999999999998E-6</v>
      </c>
      <c r="B780" s="22">
        <v>3.0606783576999998E-2</v>
      </c>
    </row>
    <row r="781" spans="1:2" x14ac:dyDescent="0.3">
      <c r="A781" s="22">
        <v>-3.7299999999999999E-6</v>
      </c>
      <c r="B781" s="22">
        <v>3.2214823761000003E-2</v>
      </c>
    </row>
    <row r="782" spans="1:2" x14ac:dyDescent="0.3">
      <c r="A782" s="22">
        <v>-3.7249999999999999E-6</v>
      </c>
      <c r="B782" s="22">
        <v>3.2214823761000003E-2</v>
      </c>
    </row>
    <row r="783" spans="1:2" x14ac:dyDescent="0.3">
      <c r="A783" s="22">
        <v>-3.72E-6</v>
      </c>
      <c r="B783" s="22">
        <v>3.0606783576999998E-2</v>
      </c>
    </row>
    <row r="784" spans="1:2" x14ac:dyDescent="0.3">
      <c r="A784" s="22">
        <v>-3.715E-6</v>
      </c>
      <c r="B784" s="22">
        <v>3.2214823761000003E-2</v>
      </c>
    </row>
    <row r="785" spans="1:2" x14ac:dyDescent="0.3">
      <c r="A785" s="22">
        <v>-3.7100000000000001E-6</v>
      </c>
      <c r="B785" s="22">
        <v>2.9802763485000001E-2</v>
      </c>
    </row>
    <row r="786" spans="1:2" x14ac:dyDescent="0.3">
      <c r="A786" s="22">
        <v>-3.7050000000000001E-6</v>
      </c>
      <c r="B786" s="22">
        <v>3.1410803669000002E-2</v>
      </c>
    </row>
    <row r="787" spans="1:2" x14ac:dyDescent="0.3">
      <c r="A787" s="22">
        <v>-3.7000000000000002E-6</v>
      </c>
      <c r="B787" s="22">
        <v>3.1410803669000002E-2</v>
      </c>
    </row>
    <row r="788" spans="1:2" x14ac:dyDescent="0.3">
      <c r="A788" s="22">
        <v>-3.6950000000000002E-6</v>
      </c>
      <c r="B788" s="22">
        <v>3.1410803669000002E-2</v>
      </c>
    </row>
    <row r="789" spans="1:2" x14ac:dyDescent="0.3">
      <c r="A789" s="22">
        <v>-3.6899999999999998E-6</v>
      </c>
      <c r="B789" s="22">
        <v>3.0606783576999998E-2</v>
      </c>
    </row>
    <row r="790" spans="1:2" x14ac:dyDescent="0.3">
      <c r="A790" s="22">
        <v>-3.6849999999999999E-6</v>
      </c>
      <c r="B790" s="22">
        <v>2.8998743394E-2</v>
      </c>
    </row>
    <row r="791" spans="1:2" x14ac:dyDescent="0.3">
      <c r="A791" s="22">
        <v>-3.6799999999999999E-6</v>
      </c>
      <c r="B791" s="22">
        <v>3.3018843853000003E-2</v>
      </c>
    </row>
    <row r="792" spans="1:2" x14ac:dyDescent="0.3">
      <c r="A792" s="22">
        <v>-3.675E-6</v>
      </c>
      <c r="B792" s="22">
        <v>3.3018843853000003E-2</v>
      </c>
    </row>
    <row r="793" spans="1:2" x14ac:dyDescent="0.3">
      <c r="A793" s="22">
        <v>-3.67E-6</v>
      </c>
      <c r="B793" s="22">
        <v>3.2214823761000003E-2</v>
      </c>
    </row>
    <row r="794" spans="1:2" x14ac:dyDescent="0.3">
      <c r="A794" s="22">
        <v>-3.6650000000000001E-6</v>
      </c>
      <c r="B794" s="22">
        <v>2.9802763485000001E-2</v>
      </c>
    </row>
    <row r="795" spans="1:2" x14ac:dyDescent="0.3">
      <c r="A795" s="22">
        <v>-3.6600000000000001E-6</v>
      </c>
      <c r="B795" s="22">
        <v>3.2214823761000003E-2</v>
      </c>
    </row>
    <row r="796" spans="1:2" x14ac:dyDescent="0.3">
      <c r="A796" s="22">
        <v>-3.6550000000000002E-6</v>
      </c>
      <c r="B796" s="22">
        <v>2.9802763485000001E-2</v>
      </c>
    </row>
    <row r="797" spans="1:2" x14ac:dyDescent="0.3">
      <c r="A797" s="22">
        <v>-3.6500000000000002E-6</v>
      </c>
      <c r="B797" s="22">
        <v>3.3018843853000003E-2</v>
      </c>
    </row>
    <row r="798" spans="1:2" x14ac:dyDescent="0.3">
      <c r="A798" s="22">
        <v>-3.6449999999999998E-6</v>
      </c>
      <c r="B798" s="22">
        <v>2.8998743394E-2</v>
      </c>
    </row>
    <row r="799" spans="1:2" x14ac:dyDescent="0.3">
      <c r="A799" s="22">
        <v>-3.6399999999999999E-6</v>
      </c>
      <c r="B799" s="22">
        <v>3.0606783576999998E-2</v>
      </c>
    </row>
    <row r="800" spans="1:2" x14ac:dyDescent="0.3">
      <c r="A800" s="22">
        <v>-3.6349999999999999E-6</v>
      </c>
      <c r="B800" s="22">
        <v>3.0606783576999998E-2</v>
      </c>
    </row>
    <row r="801" spans="1:2" x14ac:dyDescent="0.3">
      <c r="A801" s="22">
        <v>-3.63E-6</v>
      </c>
      <c r="B801" s="22">
        <v>3.0606783576999998E-2</v>
      </c>
    </row>
    <row r="802" spans="1:2" x14ac:dyDescent="0.3">
      <c r="A802" s="22">
        <v>-3.625E-6</v>
      </c>
      <c r="B802" s="22">
        <v>3.3822863944999997E-2</v>
      </c>
    </row>
    <row r="803" spans="1:2" x14ac:dyDescent="0.3">
      <c r="A803" s="22">
        <v>-3.6200000000000001E-6</v>
      </c>
      <c r="B803" s="22">
        <v>3.3822863944999997E-2</v>
      </c>
    </row>
    <row r="804" spans="1:2" x14ac:dyDescent="0.3">
      <c r="A804" s="22">
        <v>-3.6150000000000001E-6</v>
      </c>
      <c r="B804" s="22">
        <v>3.0606783576999998E-2</v>
      </c>
    </row>
    <row r="805" spans="1:2" x14ac:dyDescent="0.3">
      <c r="A805" s="22">
        <v>-3.6100000000000002E-6</v>
      </c>
      <c r="B805" s="22">
        <v>3.2214823761000003E-2</v>
      </c>
    </row>
    <row r="806" spans="1:2" x14ac:dyDescent="0.3">
      <c r="A806" s="22">
        <v>-3.6049999999999998E-6</v>
      </c>
      <c r="B806" s="22">
        <v>3.5430904128999997E-2</v>
      </c>
    </row>
    <row r="807" spans="1:2" x14ac:dyDescent="0.3">
      <c r="A807" s="22">
        <v>-3.5999999999999998E-6</v>
      </c>
      <c r="B807" s="22">
        <v>3.3822863944999997E-2</v>
      </c>
    </row>
    <row r="808" spans="1:2" x14ac:dyDescent="0.3">
      <c r="A808" s="22">
        <v>-3.5949999999999999E-6</v>
      </c>
      <c r="B808" s="22">
        <v>3.0606783576999998E-2</v>
      </c>
    </row>
    <row r="809" spans="1:2" x14ac:dyDescent="0.3">
      <c r="A809" s="22">
        <v>-3.5899999999999999E-6</v>
      </c>
      <c r="B809" s="22">
        <v>3.1410803669000002E-2</v>
      </c>
    </row>
    <row r="810" spans="1:2" x14ac:dyDescent="0.3">
      <c r="A810" s="22">
        <v>-3.585E-6</v>
      </c>
      <c r="B810" s="22">
        <v>3.1410803669000002E-2</v>
      </c>
    </row>
    <row r="811" spans="1:2" x14ac:dyDescent="0.3">
      <c r="A811" s="22">
        <v>-3.58E-6</v>
      </c>
      <c r="B811" s="22">
        <v>3.2214823761000003E-2</v>
      </c>
    </row>
    <row r="812" spans="1:2" x14ac:dyDescent="0.3">
      <c r="A812" s="22">
        <v>-3.5750000000000001E-6</v>
      </c>
      <c r="B812" s="22">
        <v>3.0606783576999998E-2</v>
      </c>
    </row>
    <row r="813" spans="1:2" x14ac:dyDescent="0.3">
      <c r="A813" s="22">
        <v>-3.5700000000000001E-6</v>
      </c>
      <c r="B813" s="22">
        <v>3.2214823761000003E-2</v>
      </c>
    </row>
    <row r="814" spans="1:2" x14ac:dyDescent="0.3">
      <c r="A814" s="22">
        <v>-3.5650000000000002E-6</v>
      </c>
      <c r="B814" s="22">
        <v>3.0606783576999998E-2</v>
      </c>
    </row>
    <row r="815" spans="1:2" x14ac:dyDescent="0.3">
      <c r="A815" s="22">
        <v>-3.5599999999999998E-6</v>
      </c>
      <c r="B815" s="22">
        <v>3.1410803669000002E-2</v>
      </c>
    </row>
    <row r="816" spans="1:2" x14ac:dyDescent="0.3">
      <c r="A816" s="22">
        <v>-3.5549999999999998E-6</v>
      </c>
      <c r="B816" s="22">
        <v>3.0606783576999998E-2</v>
      </c>
    </row>
    <row r="817" spans="1:2" x14ac:dyDescent="0.3">
      <c r="A817" s="22">
        <v>-3.5499999999999999E-6</v>
      </c>
      <c r="B817" s="22">
        <v>3.1410803669000002E-2</v>
      </c>
    </row>
    <row r="818" spans="1:2" x14ac:dyDescent="0.3">
      <c r="A818" s="22">
        <v>-3.5449999999999999E-6</v>
      </c>
      <c r="B818" s="22">
        <v>3.2214823761000003E-2</v>
      </c>
    </row>
    <row r="819" spans="1:2" x14ac:dyDescent="0.3">
      <c r="A819" s="22">
        <v>-3.54E-6</v>
      </c>
      <c r="B819" s="22">
        <v>3.0606783576999998E-2</v>
      </c>
    </row>
    <row r="820" spans="1:2" x14ac:dyDescent="0.3">
      <c r="A820" s="22">
        <v>-3.535E-6</v>
      </c>
      <c r="B820" s="22">
        <v>2.9802763485000001E-2</v>
      </c>
    </row>
    <row r="821" spans="1:2" x14ac:dyDescent="0.3">
      <c r="A821" s="22">
        <v>-3.5300000000000001E-6</v>
      </c>
      <c r="B821" s="22">
        <v>3.1410803669000002E-2</v>
      </c>
    </row>
    <row r="822" spans="1:2" x14ac:dyDescent="0.3">
      <c r="A822" s="22">
        <v>-3.5250000000000001E-6</v>
      </c>
      <c r="B822" s="22">
        <v>3.2214823761000003E-2</v>
      </c>
    </row>
    <row r="823" spans="1:2" x14ac:dyDescent="0.3">
      <c r="A823" s="22">
        <v>-3.5200000000000002E-6</v>
      </c>
      <c r="B823" s="22">
        <v>2.6586683117999999E-2</v>
      </c>
    </row>
    <row r="824" spans="1:2" x14ac:dyDescent="0.3">
      <c r="A824" s="22">
        <v>-3.5149999999999998E-6</v>
      </c>
      <c r="B824" s="22">
        <v>3.0606783576999998E-2</v>
      </c>
    </row>
    <row r="825" spans="1:2" x14ac:dyDescent="0.3">
      <c r="A825" s="22">
        <v>-3.5099999999999999E-6</v>
      </c>
      <c r="B825" s="22">
        <v>3.0606783576999998E-2</v>
      </c>
    </row>
    <row r="826" spans="1:2" x14ac:dyDescent="0.3">
      <c r="A826" s="22">
        <v>-3.5049999999999999E-6</v>
      </c>
      <c r="B826" s="22">
        <v>3.3018843853000003E-2</v>
      </c>
    </row>
    <row r="827" spans="1:2" x14ac:dyDescent="0.3">
      <c r="A827" s="22">
        <v>-3.4999999999999999E-6</v>
      </c>
      <c r="B827" s="22">
        <v>3.4626884036999997E-2</v>
      </c>
    </row>
    <row r="828" spans="1:2" x14ac:dyDescent="0.3">
      <c r="A828" s="22">
        <v>-3.495E-6</v>
      </c>
      <c r="B828" s="22">
        <v>2.8194723301999999E-2</v>
      </c>
    </row>
    <row r="829" spans="1:2" x14ac:dyDescent="0.3">
      <c r="A829" s="22">
        <v>-3.49E-6</v>
      </c>
      <c r="B829" s="22">
        <v>3.1410803669000002E-2</v>
      </c>
    </row>
    <row r="830" spans="1:2" x14ac:dyDescent="0.3">
      <c r="A830" s="22">
        <v>-3.4850000000000001E-6</v>
      </c>
      <c r="B830" s="22">
        <v>3.0606783576999998E-2</v>
      </c>
    </row>
    <row r="831" spans="1:2" x14ac:dyDescent="0.3">
      <c r="A831" s="22">
        <v>-3.4800000000000001E-6</v>
      </c>
      <c r="B831" s="22">
        <v>3.1410803669000002E-2</v>
      </c>
    </row>
    <row r="832" spans="1:2" x14ac:dyDescent="0.3">
      <c r="A832" s="22">
        <v>-3.4750000000000002E-6</v>
      </c>
      <c r="B832" s="22">
        <v>2.9802763485000001E-2</v>
      </c>
    </row>
    <row r="833" spans="1:2" x14ac:dyDescent="0.3">
      <c r="A833" s="22">
        <v>-3.4699999999999998E-6</v>
      </c>
      <c r="B833" s="22">
        <v>3.1410803669000002E-2</v>
      </c>
    </row>
    <row r="834" spans="1:2" x14ac:dyDescent="0.3">
      <c r="A834" s="22">
        <v>-3.4649999999999999E-6</v>
      </c>
      <c r="B834" s="22">
        <v>3.1410803669000002E-2</v>
      </c>
    </row>
    <row r="835" spans="1:2" x14ac:dyDescent="0.3">
      <c r="A835" s="22">
        <v>-3.4599999999999999E-6</v>
      </c>
      <c r="B835" s="22">
        <v>2.9802763485000001E-2</v>
      </c>
    </row>
    <row r="836" spans="1:2" x14ac:dyDescent="0.3">
      <c r="A836" s="22">
        <v>-3.455E-6</v>
      </c>
      <c r="B836" s="22">
        <v>3.3822863944999997E-2</v>
      </c>
    </row>
    <row r="837" spans="1:2" x14ac:dyDescent="0.3">
      <c r="A837" s="22">
        <v>-3.45E-6</v>
      </c>
      <c r="B837" s="22">
        <v>2.8998743393000001E-2</v>
      </c>
    </row>
    <row r="838" spans="1:2" x14ac:dyDescent="0.3">
      <c r="A838" s="22">
        <v>-3.4450000000000001E-6</v>
      </c>
      <c r="B838" s="22">
        <v>3.3018843853000003E-2</v>
      </c>
    </row>
    <row r="839" spans="1:2" x14ac:dyDescent="0.3">
      <c r="A839" s="22">
        <v>-3.4400000000000001E-6</v>
      </c>
      <c r="B839" s="22">
        <v>3.3822863944999997E-2</v>
      </c>
    </row>
    <row r="840" spans="1:2" x14ac:dyDescent="0.3">
      <c r="A840" s="22">
        <v>-3.4350000000000001E-6</v>
      </c>
      <c r="B840" s="22">
        <v>3.4626884036999997E-2</v>
      </c>
    </row>
    <row r="841" spans="1:2" x14ac:dyDescent="0.3">
      <c r="A841" s="22">
        <v>-3.4300000000000002E-6</v>
      </c>
      <c r="B841" s="22">
        <v>3.3018843853000003E-2</v>
      </c>
    </row>
    <row r="842" spans="1:2" x14ac:dyDescent="0.3">
      <c r="A842" s="22">
        <v>-3.4249999999999998E-6</v>
      </c>
      <c r="B842" s="22">
        <v>2.8998743393000001E-2</v>
      </c>
    </row>
    <row r="843" spans="1:2" x14ac:dyDescent="0.3">
      <c r="A843" s="22">
        <v>-3.4199999999999999E-6</v>
      </c>
      <c r="B843" s="22">
        <v>3.5430904128999997E-2</v>
      </c>
    </row>
    <row r="844" spans="1:2" x14ac:dyDescent="0.3">
      <c r="A844" s="22">
        <v>-3.4149999999999999E-6</v>
      </c>
      <c r="B844" s="22">
        <v>3.0606783576999998E-2</v>
      </c>
    </row>
    <row r="845" spans="1:2" x14ac:dyDescent="0.3">
      <c r="A845" s="22">
        <v>-3.41E-6</v>
      </c>
      <c r="B845" s="22">
        <v>2.9802763485000001E-2</v>
      </c>
    </row>
    <row r="846" spans="1:2" x14ac:dyDescent="0.3">
      <c r="A846" s="22">
        <v>-3.405E-6</v>
      </c>
      <c r="B846" s="22">
        <v>2.9802763485000001E-2</v>
      </c>
    </row>
    <row r="847" spans="1:2" x14ac:dyDescent="0.3">
      <c r="A847" s="22">
        <v>-3.4000000000000001E-6</v>
      </c>
      <c r="B847" s="22">
        <v>3.3018843853000003E-2</v>
      </c>
    </row>
    <row r="848" spans="1:2" x14ac:dyDescent="0.3">
      <c r="A848" s="22">
        <v>-3.3950000000000001E-6</v>
      </c>
      <c r="B848" s="22">
        <v>3.2214823761000003E-2</v>
      </c>
    </row>
    <row r="849" spans="1:2" x14ac:dyDescent="0.3">
      <c r="A849" s="22">
        <v>-3.3900000000000002E-6</v>
      </c>
      <c r="B849" s="22">
        <v>3.2214823761000003E-2</v>
      </c>
    </row>
    <row r="850" spans="1:2" x14ac:dyDescent="0.3">
      <c r="A850" s="22">
        <v>-3.3850000000000002E-6</v>
      </c>
      <c r="B850" s="22">
        <v>3.1410803669000002E-2</v>
      </c>
    </row>
    <row r="851" spans="1:2" x14ac:dyDescent="0.3">
      <c r="A851" s="22">
        <v>-3.3799999999999998E-6</v>
      </c>
      <c r="B851" s="22">
        <v>2.9802763485000001E-2</v>
      </c>
    </row>
    <row r="852" spans="1:2" x14ac:dyDescent="0.3">
      <c r="A852" s="22">
        <v>-3.3749999999999999E-6</v>
      </c>
      <c r="B852" s="22">
        <v>3.1410803669000002E-2</v>
      </c>
    </row>
    <row r="853" spans="1:2" x14ac:dyDescent="0.3">
      <c r="A853" s="22">
        <v>-3.3699999999999999E-6</v>
      </c>
      <c r="B853" s="22">
        <v>2.8998743393000001E-2</v>
      </c>
    </row>
    <row r="854" spans="1:2" x14ac:dyDescent="0.3">
      <c r="A854" s="22">
        <v>-3.365E-6</v>
      </c>
      <c r="B854" s="22">
        <v>3.1410803669000002E-2</v>
      </c>
    </row>
    <row r="855" spans="1:2" x14ac:dyDescent="0.3">
      <c r="A855" s="22">
        <v>-3.36E-6</v>
      </c>
      <c r="B855" s="22">
        <v>3.2214823761000003E-2</v>
      </c>
    </row>
    <row r="856" spans="1:2" x14ac:dyDescent="0.3">
      <c r="A856" s="22">
        <v>-3.3550000000000001E-6</v>
      </c>
      <c r="B856" s="22">
        <v>2.9802763485000001E-2</v>
      </c>
    </row>
    <row r="857" spans="1:2" x14ac:dyDescent="0.3">
      <c r="A857" s="22">
        <v>-3.3500000000000001E-6</v>
      </c>
      <c r="B857" s="22">
        <v>2.8998743393000001E-2</v>
      </c>
    </row>
    <row r="858" spans="1:2" x14ac:dyDescent="0.3">
      <c r="A858" s="22">
        <v>-3.3450000000000002E-6</v>
      </c>
      <c r="B858" s="22">
        <v>3.1410803669000002E-2</v>
      </c>
    </row>
    <row r="859" spans="1:2" x14ac:dyDescent="0.3">
      <c r="A859" s="22">
        <v>-3.3400000000000002E-6</v>
      </c>
      <c r="B859" s="22">
        <v>2.9802763485000001E-2</v>
      </c>
    </row>
    <row r="860" spans="1:2" x14ac:dyDescent="0.3">
      <c r="A860" s="22">
        <v>-3.3349999999999998E-6</v>
      </c>
      <c r="B860" s="22">
        <v>2.7390703209999999E-2</v>
      </c>
    </row>
    <row r="861" spans="1:2" x14ac:dyDescent="0.3">
      <c r="A861" s="22">
        <v>-3.3299999999999999E-6</v>
      </c>
      <c r="B861" s="22">
        <v>2.9802763485000001E-2</v>
      </c>
    </row>
    <row r="862" spans="1:2" x14ac:dyDescent="0.3">
      <c r="A862" s="22">
        <v>-3.3249999999999999E-6</v>
      </c>
      <c r="B862" s="22">
        <v>2.8998743394E-2</v>
      </c>
    </row>
    <row r="863" spans="1:2" x14ac:dyDescent="0.3">
      <c r="A863" s="22">
        <v>-3.32E-6</v>
      </c>
      <c r="B863" s="22">
        <v>2.9802763485000001E-2</v>
      </c>
    </row>
    <row r="864" spans="1:2" x14ac:dyDescent="0.3">
      <c r="A864" s="22">
        <v>-3.315E-6</v>
      </c>
      <c r="B864" s="22">
        <v>2.9802763485000001E-2</v>
      </c>
    </row>
    <row r="865" spans="1:2" x14ac:dyDescent="0.3">
      <c r="A865" s="22">
        <v>-3.3100000000000001E-6</v>
      </c>
      <c r="B865" s="22">
        <v>2.9802763485000001E-2</v>
      </c>
    </row>
    <row r="866" spans="1:2" x14ac:dyDescent="0.3">
      <c r="A866" s="22">
        <v>-3.3050000000000001E-6</v>
      </c>
      <c r="B866" s="22">
        <v>3.0606783576999998E-2</v>
      </c>
    </row>
    <row r="867" spans="1:2" x14ac:dyDescent="0.3">
      <c r="A867" s="22">
        <v>-3.3000000000000002E-6</v>
      </c>
      <c r="B867" s="22">
        <v>2.9802763485000001E-2</v>
      </c>
    </row>
    <row r="868" spans="1:2" x14ac:dyDescent="0.3">
      <c r="A868" s="22">
        <v>-3.2949999999999998E-6</v>
      </c>
      <c r="B868" s="22">
        <v>3.2214823761000003E-2</v>
      </c>
    </row>
    <row r="869" spans="1:2" x14ac:dyDescent="0.3">
      <c r="A869" s="22">
        <v>-3.2899999999999998E-6</v>
      </c>
      <c r="B869" s="22">
        <v>2.8194723301999999E-2</v>
      </c>
    </row>
    <row r="870" spans="1:2" x14ac:dyDescent="0.3">
      <c r="A870" s="22">
        <v>-3.2849999999999999E-6</v>
      </c>
      <c r="B870" s="22">
        <v>3.3018843853000003E-2</v>
      </c>
    </row>
    <row r="871" spans="1:2" x14ac:dyDescent="0.3">
      <c r="A871" s="22">
        <v>-3.2799999999999999E-6</v>
      </c>
      <c r="B871" s="22">
        <v>2.9802763485000001E-2</v>
      </c>
    </row>
    <row r="872" spans="1:2" x14ac:dyDescent="0.3">
      <c r="A872" s="22">
        <v>-3.275E-6</v>
      </c>
      <c r="B872" s="22">
        <v>3.0606783576999998E-2</v>
      </c>
    </row>
    <row r="873" spans="1:2" x14ac:dyDescent="0.3">
      <c r="A873" s="22">
        <v>-3.27E-6</v>
      </c>
      <c r="B873" s="22">
        <v>3.0606783576999998E-2</v>
      </c>
    </row>
    <row r="874" spans="1:2" x14ac:dyDescent="0.3">
      <c r="A874" s="22">
        <v>-3.2650000000000001E-6</v>
      </c>
      <c r="B874" s="22">
        <v>2.9802763485000001E-2</v>
      </c>
    </row>
    <row r="875" spans="1:2" x14ac:dyDescent="0.3">
      <c r="A875" s="22">
        <v>-3.2600000000000001E-6</v>
      </c>
      <c r="B875" s="22">
        <v>2.9802763485000001E-2</v>
      </c>
    </row>
    <row r="876" spans="1:2" x14ac:dyDescent="0.3">
      <c r="A876" s="22">
        <v>-3.2550000000000002E-6</v>
      </c>
      <c r="B876" s="22">
        <v>3.3822863944999997E-2</v>
      </c>
    </row>
    <row r="877" spans="1:2" x14ac:dyDescent="0.3">
      <c r="A877" s="22">
        <v>-3.2499999999999998E-6</v>
      </c>
      <c r="B877" s="22">
        <v>3.1410803669000002E-2</v>
      </c>
    </row>
    <row r="878" spans="1:2" x14ac:dyDescent="0.3">
      <c r="A878" s="22">
        <v>-3.2449999999999998E-6</v>
      </c>
      <c r="B878" s="22">
        <v>3.0606783576999998E-2</v>
      </c>
    </row>
    <row r="879" spans="1:2" x14ac:dyDescent="0.3">
      <c r="A879" s="22">
        <v>-3.2399999999999999E-6</v>
      </c>
      <c r="B879" s="22">
        <v>2.8998743393000001E-2</v>
      </c>
    </row>
    <row r="880" spans="1:2" x14ac:dyDescent="0.3">
      <c r="A880" s="22">
        <v>-3.2349999999999999E-6</v>
      </c>
      <c r="B880" s="22">
        <v>3.4626884036999997E-2</v>
      </c>
    </row>
    <row r="881" spans="1:2" x14ac:dyDescent="0.3">
      <c r="A881" s="22">
        <v>-3.23E-6</v>
      </c>
      <c r="B881" s="22">
        <v>3.2214823761000003E-2</v>
      </c>
    </row>
    <row r="882" spans="1:2" x14ac:dyDescent="0.3">
      <c r="A882" s="22">
        <v>-3.225E-6</v>
      </c>
      <c r="B882" s="22">
        <v>3.3822863944999997E-2</v>
      </c>
    </row>
    <row r="883" spans="1:2" x14ac:dyDescent="0.3">
      <c r="A883" s="22">
        <v>-3.2200000000000001E-6</v>
      </c>
      <c r="B883" s="22">
        <v>3.0606783576999998E-2</v>
      </c>
    </row>
    <row r="884" spans="1:2" x14ac:dyDescent="0.3">
      <c r="A884" s="22">
        <v>-3.2150000000000001E-6</v>
      </c>
      <c r="B884" s="22">
        <v>3.3018843853000003E-2</v>
      </c>
    </row>
    <row r="885" spans="1:2" x14ac:dyDescent="0.3">
      <c r="A885" s="22">
        <v>-3.2100000000000002E-6</v>
      </c>
      <c r="B885" s="22">
        <v>3.1410803669000002E-2</v>
      </c>
    </row>
    <row r="886" spans="1:2" x14ac:dyDescent="0.3">
      <c r="A886" s="22">
        <v>-3.2049999999999998E-6</v>
      </c>
      <c r="B886" s="22">
        <v>2.9802763485000001E-2</v>
      </c>
    </row>
    <row r="887" spans="1:2" x14ac:dyDescent="0.3">
      <c r="A887" s="22">
        <v>-3.1999999999999999E-6</v>
      </c>
      <c r="B887" s="22">
        <v>2.8998743393000001E-2</v>
      </c>
    </row>
    <row r="888" spans="1:2" x14ac:dyDescent="0.3">
      <c r="A888" s="22">
        <v>-3.1949999999999999E-6</v>
      </c>
      <c r="B888" s="22">
        <v>3.3018843853000003E-2</v>
      </c>
    </row>
    <row r="889" spans="1:2" x14ac:dyDescent="0.3">
      <c r="A889" s="22">
        <v>-3.19E-6</v>
      </c>
      <c r="B889" s="22">
        <v>3.1410803669000002E-2</v>
      </c>
    </row>
    <row r="890" spans="1:2" x14ac:dyDescent="0.3">
      <c r="A890" s="22">
        <v>-3.185E-6</v>
      </c>
      <c r="B890" s="22">
        <v>2.9802763485000001E-2</v>
      </c>
    </row>
    <row r="891" spans="1:2" x14ac:dyDescent="0.3">
      <c r="A891" s="22">
        <v>-3.18E-6</v>
      </c>
      <c r="B891" s="22">
        <v>3.1410803669000002E-2</v>
      </c>
    </row>
    <row r="892" spans="1:2" x14ac:dyDescent="0.3">
      <c r="A892" s="22">
        <v>-3.1750000000000001E-6</v>
      </c>
      <c r="B892" s="22">
        <v>2.9802763485000001E-2</v>
      </c>
    </row>
    <row r="893" spans="1:2" x14ac:dyDescent="0.3">
      <c r="A893" s="22">
        <v>-3.1700000000000001E-6</v>
      </c>
      <c r="B893" s="22">
        <v>3.1410803669000002E-2</v>
      </c>
    </row>
    <row r="894" spans="1:2" x14ac:dyDescent="0.3">
      <c r="A894" s="22">
        <v>-3.1650000000000002E-6</v>
      </c>
      <c r="B894" s="22">
        <v>3.4626884035999998E-2</v>
      </c>
    </row>
    <row r="895" spans="1:2" x14ac:dyDescent="0.3">
      <c r="A895" s="22">
        <v>-3.1599999999999998E-6</v>
      </c>
      <c r="B895" s="22">
        <v>3.2214823761000003E-2</v>
      </c>
    </row>
    <row r="896" spans="1:2" x14ac:dyDescent="0.3">
      <c r="A896" s="22">
        <v>-3.1549999999999999E-6</v>
      </c>
      <c r="B896" s="22">
        <v>3.2214823761000003E-2</v>
      </c>
    </row>
    <row r="897" spans="1:2" x14ac:dyDescent="0.3">
      <c r="A897" s="22">
        <v>-3.1499999999999999E-6</v>
      </c>
      <c r="B897" s="22">
        <v>2.9802763486E-2</v>
      </c>
    </row>
    <row r="898" spans="1:2" x14ac:dyDescent="0.3">
      <c r="A898" s="22">
        <v>-3.145E-6</v>
      </c>
      <c r="B898" s="22">
        <v>3.4626884036999997E-2</v>
      </c>
    </row>
    <row r="899" spans="1:2" x14ac:dyDescent="0.3">
      <c r="A899" s="22">
        <v>-3.14E-6</v>
      </c>
      <c r="B899" s="22">
        <v>3.3822863944999997E-2</v>
      </c>
    </row>
    <row r="900" spans="1:2" x14ac:dyDescent="0.3">
      <c r="A900" s="22">
        <v>-3.1350000000000001E-6</v>
      </c>
      <c r="B900" s="22">
        <v>2.9802763485000001E-2</v>
      </c>
    </row>
    <row r="901" spans="1:2" x14ac:dyDescent="0.3">
      <c r="A901" s="22">
        <v>-3.1300000000000001E-6</v>
      </c>
      <c r="B901" s="22">
        <v>3.1410803669000002E-2</v>
      </c>
    </row>
    <row r="902" spans="1:2" x14ac:dyDescent="0.3">
      <c r="A902" s="22">
        <v>-3.1250000000000001E-6</v>
      </c>
      <c r="B902" s="22">
        <v>3.1410803669000002E-2</v>
      </c>
    </row>
    <row r="903" spans="1:2" x14ac:dyDescent="0.3">
      <c r="A903" s="22">
        <v>-3.1200000000000002E-6</v>
      </c>
      <c r="B903" s="22">
        <v>3.3018843853000003E-2</v>
      </c>
    </row>
    <row r="904" spans="1:2" x14ac:dyDescent="0.3">
      <c r="A904" s="22">
        <v>-3.1149999999999998E-6</v>
      </c>
      <c r="B904" s="22">
        <v>2.7390703209999999E-2</v>
      </c>
    </row>
    <row r="905" spans="1:2" x14ac:dyDescent="0.3">
      <c r="A905" s="22">
        <v>-3.1099999999999999E-6</v>
      </c>
      <c r="B905" s="22">
        <v>3.4626884036999997E-2</v>
      </c>
    </row>
    <row r="906" spans="1:2" x14ac:dyDescent="0.3">
      <c r="A906" s="22">
        <v>-3.1049999999999999E-6</v>
      </c>
      <c r="B906" s="22">
        <v>3.2214823761000003E-2</v>
      </c>
    </row>
    <row r="907" spans="1:2" x14ac:dyDescent="0.3">
      <c r="A907" s="22">
        <v>-3.1E-6</v>
      </c>
      <c r="B907" s="22">
        <v>3.2214823761000003E-2</v>
      </c>
    </row>
    <row r="908" spans="1:2" x14ac:dyDescent="0.3">
      <c r="A908" s="22">
        <v>-3.095E-6</v>
      </c>
      <c r="B908" s="22">
        <v>3.1410803669000002E-2</v>
      </c>
    </row>
    <row r="909" spans="1:2" x14ac:dyDescent="0.3">
      <c r="A909" s="22">
        <v>-3.0900000000000001E-6</v>
      </c>
      <c r="B909" s="22">
        <v>3.2214823761000003E-2</v>
      </c>
    </row>
    <row r="910" spans="1:2" x14ac:dyDescent="0.3">
      <c r="A910" s="22">
        <v>-3.0850000000000001E-6</v>
      </c>
      <c r="B910" s="22">
        <v>3.5430904128999997E-2</v>
      </c>
    </row>
    <row r="911" spans="1:2" x14ac:dyDescent="0.3">
      <c r="A911" s="22">
        <v>-3.0800000000000002E-6</v>
      </c>
      <c r="B911" s="22">
        <v>3.1410803669000002E-2</v>
      </c>
    </row>
    <row r="912" spans="1:2" x14ac:dyDescent="0.3">
      <c r="A912" s="22">
        <v>-3.0750000000000002E-6</v>
      </c>
      <c r="B912" s="22">
        <v>3.3822863944999997E-2</v>
      </c>
    </row>
    <row r="913" spans="1:2" x14ac:dyDescent="0.3">
      <c r="A913" s="22">
        <v>-3.0699999999999998E-6</v>
      </c>
      <c r="B913" s="22">
        <v>3.1410803669000002E-2</v>
      </c>
    </row>
    <row r="914" spans="1:2" x14ac:dyDescent="0.3">
      <c r="A914" s="22">
        <v>-3.0649999999999999E-6</v>
      </c>
      <c r="B914" s="22">
        <v>3.3822863944999997E-2</v>
      </c>
    </row>
    <row r="915" spans="1:2" x14ac:dyDescent="0.3">
      <c r="A915" s="22">
        <v>-3.0599999999999999E-6</v>
      </c>
      <c r="B915" s="22">
        <v>3.1410803669000002E-2</v>
      </c>
    </row>
    <row r="916" spans="1:2" x14ac:dyDescent="0.3">
      <c r="A916" s="22">
        <v>-3.055E-6</v>
      </c>
      <c r="B916" s="22">
        <v>3.3822863944999997E-2</v>
      </c>
    </row>
    <row r="917" spans="1:2" x14ac:dyDescent="0.3">
      <c r="A917" s="22">
        <v>-3.05E-6</v>
      </c>
      <c r="B917" s="22">
        <v>2.8998743393000001E-2</v>
      </c>
    </row>
    <row r="918" spans="1:2" x14ac:dyDescent="0.3">
      <c r="A918" s="22">
        <v>-3.0450000000000001E-6</v>
      </c>
      <c r="B918" s="22">
        <v>3.0606783576999998E-2</v>
      </c>
    </row>
    <row r="919" spans="1:2" x14ac:dyDescent="0.3">
      <c r="A919" s="22">
        <v>-3.0400000000000001E-6</v>
      </c>
      <c r="B919" s="22">
        <v>3.0606783576999998E-2</v>
      </c>
    </row>
    <row r="920" spans="1:2" x14ac:dyDescent="0.3">
      <c r="A920" s="22">
        <v>-3.0350000000000002E-6</v>
      </c>
      <c r="B920" s="22">
        <v>3.1410803669000002E-2</v>
      </c>
    </row>
    <row r="921" spans="1:2" x14ac:dyDescent="0.3">
      <c r="A921" s="22">
        <v>-3.0299999999999998E-6</v>
      </c>
      <c r="B921" s="22">
        <v>3.3018843853000003E-2</v>
      </c>
    </row>
    <row r="922" spans="1:2" x14ac:dyDescent="0.3">
      <c r="A922" s="22">
        <v>-3.0249999999999998E-6</v>
      </c>
      <c r="B922" s="22">
        <v>3.2214823761000003E-2</v>
      </c>
    </row>
    <row r="923" spans="1:2" x14ac:dyDescent="0.3">
      <c r="A923" s="22">
        <v>-3.0199999999999999E-6</v>
      </c>
      <c r="B923" s="22">
        <v>3.2214823761000003E-2</v>
      </c>
    </row>
    <row r="924" spans="1:2" x14ac:dyDescent="0.3">
      <c r="A924" s="22">
        <v>-3.0149999999999999E-6</v>
      </c>
      <c r="B924" s="22">
        <v>2.9802763485000001E-2</v>
      </c>
    </row>
    <row r="925" spans="1:2" x14ac:dyDescent="0.3">
      <c r="A925" s="22">
        <v>-3.01E-6</v>
      </c>
      <c r="B925" s="22">
        <v>3.0606783576999998E-2</v>
      </c>
    </row>
    <row r="926" spans="1:2" x14ac:dyDescent="0.3">
      <c r="A926" s="22">
        <v>-3.005E-6</v>
      </c>
      <c r="B926" s="22">
        <v>2.9802763485000001E-2</v>
      </c>
    </row>
    <row r="927" spans="1:2" x14ac:dyDescent="0.3">
      <c r="A927" s="22">
        <v>-3.0000000000000001E-6</v>
      </c>
      <c r="B927" s="22">
        <v>2.8998743393000001E-2</v>
      </c>
    </row>
    <row r="928" spans="1:2" x14ac:dyDescent="0.3">
      <c r="A928" s="22">
        <v>-2.9950000000000001E-6</v>
      </c>
      <c r="B928" s="22">
        <v>2.9802763485000001E-2</v>
      </c>
    </row>
    <row r="929" spans="1:2" x14ac:dyDescent="0.3">
      <c r="A929" s="22">
        <v>-2.9900000000000002E-6</v>
      </c>
      <c r="B929" s="22">
        <v>3.2214823761000003E-2</v>
      </c>
    </row>
    <row r="930" spans="1:2" x14ac:dyDescent="0.3">
      <c r="A930" s="22">
        <v>-2.9849999999999998E-6</v>
      </c>
      <c r="B930" s="22">
        <v>3.2214823761000003E-2</v>
      </c>
    </row>
    <row r="931" spans="1:2" x14ac:dyDescent="0.3">
      <c r="A931" s="22">
        <v>-2.9799999999999998E-6</v>
      </c>
      <c r="B931" s="22">
        <v>2.9802763485000001E-2</v>
      </c>
    </row>
    <row r="932" spans="1:2" x14ac:dyDescent="0.3">
      <c r="A932" s="22">
        <v>-2.9749999999999999E-6</v>
      </c>
      <c r="B932" s="22">
        <v>3.1410803669000002E-2</v>
      </c>
    </row>
    <row r="933" spans="1:2" x14ac:dyDescent="0.3">
      <c r="A933" s="22">
        <v>-2.9699999999999999E-6</v>
      </c>
      <c r="B933" s="22">
        <v>2.9802763485000001E-2</v>
      </c>
    </row>
    <row r="934" spans="1:2" x14ac:dyDescent="0.3">
      <c r="A934" s="22">
        <v>-2.965E-6</v>
      </c>
      <c r="B934" s="22">
        <v>2.8998743393000001E-2</v>
      </c>
    </row>
    <row r="935" spans="1:2" x14ac:dyDescent="0.3">
      <c r="A935" s="22">
        <v>-2.96E-6</v>
      </c>
      <c r="B935" s="22">
        <v>3.2214823761000003E-2</v>
      </c>
    </row>
    <row r="936" spans="1:2" x14ac:dyDescent="0.3">
      <c r="A936" s="22">
        <v>-2.9550000000000001E-6</v>
      </c>
      <c r="B936" s="22">
        <v>3.1410803669000002E-2</v>
      </c>
    </row>
    <row r="937" spans="1:2" x14ac:dyDescent="0.3">
      <c r="A937" s="22">
        <v>-2.9500000000000001E-6</v>
      </c>
      <c r="B937" s="22">
        <v>3.2214823761000003E-2</v>
      </c>
    </row>
    <row r="938" spans="1:2" x14ac:dyDescent="0.3">
      <c r="A938" s="22">
        <v>-2.9450000000000002E-6</v>
      </c>
      <c r="B938" s="22">
        <v>3.1410803669000002E-2</v>
      </c>
    </row>
    <row r="939" spans="1:2" x14ac:dyDescent="0.3">
      <c r="A939" s="22">
        <v>-2.9399999999999998E-6</v>
      </c>
      <c r="B939" s="22">
        <v>3.2214823761000003E-2</v>
      </c>
    </row>
    <row r="940" spans="1:2" x14ac:dyDescent="0.3">
      <c r="A940" s="22">
        <v>-2.9349999999999999E-6</v>
      </c>
      <c r="B940" s="22">
        <v>2.9802763485000001E-2</v>
      </c>
    </row>
    <row r="941" spans="1:2" x14ac:dyDescent="0.3">
      <c r="A941" s="22">
        <v>-2.9299999999999999E-6</v>
      </c>
      <c r="B941" s="22">
        <v>3.0606783576999998E-2</v>
      </c>
    </row>
    <row r="942" spans="1:2" x14ac:dyDescent="0.3">
      <c r="A942" s="22">
        <v>-2.9249999999999999E-6</v>
      </c>
      <c r="B942" s="22">
        <v>3.2214823761000003E-2</v>
      </c>
    </row>
    <row r="943" spans="1:2" x14ac:dyDescent="0.3">
      <c r="A943" s="22">
        <v>-2.92E-6</v>
      </c>
      <c r="B943" s="22">
        <v>3.3018843853000003E-2</v>
      </c>
    </row>
    <row r="944" spans="1:2" x14ac:dyDescent="0.3">
      <c r="A944" s="22">
        <v>-2.915E-6</v>
      </c>
      <c r="B944" s="22">
        <v>3.3018843853000003E-2</v>
      </c>
    </row>
    <row r="945" spans="1:2" x14ac:dyDescent="0.3">
      <c r="A945" s="22">
        <v>-2.9100000000000001E-6</v>
      </c>
      <c r="B945" s="22">
        <v>3.3018843853000003E-2</v>
      </c>
    </row>
    <row r="946" spans="1:2" x14ac:dyDescent="0.3">
      <c r="A946" s="22">
        <v>-2.9050000000000001E-6</v>
      </c>
      <c r="B946" s="22">
        <v>3.3822863944999997E-2</v>
      </c>
    </row>
    <row r="947" spans="1:2" x14ac:dyDescent="0.3">
      <c r="A947" s="22">
        <v>-2.9000000000000002E-6</v>
      </c>
      <c r="B947" s="22">
        <v>2.9802763485000001E-2</v>
      </c>
    </row>
    <row r="948" spans="1:2" x14ac:dyDescent="0.3">
      <c r="A948" s="22">
        <v>-2.8949999999999998E-6</v>
      </c>
      <c r="B948" s="22">
        <v>3.2214823761000003E-2</v>
      </c>
    </row>
    <row r="949" spans="1:2" x14ac:dyDescent="0.3">
      <c r="A949" s="22">
        <v>-2.8899999999999999E-6</v>
      </c>
      <c r="B949" s="22">
        <v>2.8998743393000001E-2</v>
      </c>
    </row>
    <row r="950" spans="1:2" x14ac:dyDescent="0.3">
      <c r="A950" s="22">
        <v>-2.8849999999999999E-6</v>
      </c>
      <c r="B950" s="22">
        <v>3.0606783576999998E-2</v>
      </c>
    </row>
    <row r="951" spans="1:2" x14ac:dyDescent="0.3">
      <c r="A951" s="22">
        <v>-2.88E-6</v>
      </c>
      <c r="B951" s="22">
        <v>3.0606783576999998E-2</v>
      </c>
    </row>
    <row r="952" spans="1:2" x14ac:dyDescent="0.3">
      <c r="A952" s="22">
        <v>-2.875E-6</v>
      </c>
      <c r="B952" s="22">
        <v>2.9802763485000001E-2</v>
      </c>
    </row>
    <row r="953" spans="1:2" x14ac:dyDescent="0.3">
      <c r="A953" s="22">
        <v>-2.8700000000000001E-6</v>
      </c>
      <c r="B953" s="22">
        <v>3.1410803669000002E-2</v>
      </c>
    </row>
    <row r="954" spans="1:2" x14ac:dyDescent="0.3">
      <c r="A954" s="22">
        <v>-2.8650000000000001E-6</v>
      </c>
      <c r="B954" s="22">
        <v>3.3822863944999997E-2</v>
      </c>
    </row>
    <row r="955" spans="1:2" x14ac:dyDescent="0.3">
      <c r="A955" s="22">
        <v>-2.8600000000000001E-6</v>
      </c>
      <c r="B955" s="22">
        <v>3.3018843853000003E-2</v>
      </c>
    </row>
    <row r="956" spans="1:2" x14ac:dyDescent="0.3">
      <c r="A956" s="22">
        <v>-2.8550000000000002E-6</v>
      </c>
      <c r="B956" s="22">
        <v>3.2214823761000003E-2</v>
      </c>
    </row>
    <row r="957" spans="1:2" x14ac:dyDescent="0.3">
      <c r="A957" s="22">
        <v>-2.8499999999999998E-6</v>
      </c>
      <c r="B957" s="22">
        <v>2.9802763485000001E-2</v>
      </c>
    </row>
    <row r="958" spans="1:2" x14ac:dyDescent="0.3">
      <c r="A958" s="22">
        <v>-2.8449999999999999E-6</v>
      </c>
      <c r="B958" s="22">
        <v>3.3018843853000003E-2</v>
      </c>
    </row>
    <row r="959" spans="1:2" x14ac:dyDescent="0.3">
      <c r="A959" s="22">
        <v>-2.8399999999999999E-6</v>
      </c>
      <c r="B959" s="22">
        <v>3.1410803669000002E-2</v>
      </c>
    </row>
    <row r="960" spans="1:2" x14ac:dyDescent="0.3">
      <c r="A960" s="22">
        <v>-2.835E-6</v>
      </c>
      <c r="B960" s="22">
        <v>3.3822863944999997E-2</v>
      </c>
    </row>
    <row r="961" spans="1:2" x14ac:dyDescent="0.3">
      <c r="A961" s="22">
        <v>-2.83E-6</v>
      </c>
      <c r="B961" s="22">
        <v>3.0606783576999998E-2</v>
      </c>
    </row>
    <row r="962" spans="1:2" x14ac:dyDescent="0.3">
      <c r="A962" s="22">
        <v>-2.8250000000000001E-6</v>
      </c>
      <c r="B962" s="22">
        <v>3.2214823761000003E-2</v>
      </c>
    </row>
    <row r="963" spans="1:2" x14ac:dyDescent="0.3">
      <c r="A963" s="22">
        <v>-2.8200000000000001E-6</v>
      </c>
      <c r="B963" s="22">
        <v>3.0606783576999998E-2</v>
      </c>
    </row>
    <row r="964" spans="1:2" x14ac:dyDescent="0.3">
      <c r="A964" s="22">
        <v>-2.8150000000000002E-6</v>
      </c>
      <c r="B964" s="22">
        <v>3.1410803669000002E-2</v>
      </c>
    </row>
    <row r="965" spans="1:2" x14ac:dyDescent="0.3">
      <c r="A965" s="22">
        <v>-2.8100000000000002E-6</v>
      </c>
      <c r="B965" s="22">
        <v>3.1410803669000002E-2</v>
      </c>
    </row>
    <row r="966" spans="1:2" x14ac:dyDescent="0.3">
      <c r="A966" s="22">
        <v>-2.8049999999999998E-6</v>
      </c>
      <c r="B966" s="22">
        <v>2.9802763485000001E-2</v>
      </c>
    </row>
    <row r="967" spans="1:2" x14ac:dyDescent="0.3">
      <c r="A967" s="22">
        <v>-2.7999999999999999E-6</v>
      </c>
      <c r="B967" s="22">
        <v>3.0606783576999998E-2</v>
      </c>
    </row>
    <row r="968" spans="1:2" x14ac:dyDescent="0.3">
      <c r="A968" s="22">
        <v>-2.7949999999999999E-6</v>
      </c>
      <c r="B968" s="22">
        <v>3.1410803669000002E-2</v>
      </c>
    </row>
    <row r="969" spans="1:2" x14ac:dyDescent="0.3">
      <c r="A969" s="22">
        <v>-2.79E-6</v>
      </c>
      <c r="B969" s="22">
        <v>3.1410803669000002E-2</v>
      </c>
    </row>
    <row r="970" spans="1:2" x14ac:dyDescent="0.3">
      <c r="A970" s="22">
        <v>-2.785E-6</v>
      </c>
      <c r="B970" s="22">
        <v>2.9802763485000001E-2</v>
      </c>
    </row>
    <row r="971" spans="1:2" x14ac:dyDescent="0.3">
      <c r="A971" s="22">
        <v>-2.7800000000000001E-6</v>
      </c>
      <c r="B971" s="22">
        <v>3.0606783576999998E-2</v>
      </c>
    </row>
    <row r="972" spans="1:2" x14ac:dyDescent="0.3">
      <c r="A972" s="22">
        <v>-2.7750000000000001E-6</v>
      </c>
      <c r="B972" s="22">
        <v>2.8194723301000001E-2</v>
      </c>
    </row>
    <row r="973" spans="1:2" x14ac:dyDescent="0.3">
      <c r="A973" s="22">
        <v>-2.7700000000000002E-6</v>
      </c>
      <c r="B973" s="22">
        <v>3.5430904128999997E-2</v>
      </c>
    </row>
    <row r="974" spans="1:2" x14ac:dyDescent="0.3">
      <c r="A974" s="22">
        <v>-2.7650000000000002E-6</v>
      </c>
      <c r="B974" s="22">
        <v>2.8998743394E-2</v>
      </c>
    </row>
    <row r="975" spans="1:2" x14ac:dyDescent="0.3">
      <c r="A975" s="22">
        <v>-2.7599999999999998E-6</v>
      </c>
      <c r="B975" s="22">
        <v>3.1410803669000002E-2</v>
      </c>
    </row>
    <row r="976" spans="1:2" x14ac:dyDescent="0.3">
      <c r="A976" s="22">
        <v>-2.7549999999999999E-6</v>
      </c>
      <c r="B976" s="22">
        <v>3.2214823761000003E-2</v>
      </c>
    </row>
    <row r="977" spans="1:2" x14ac:dyDescent="0.3">
      <c r="A977" s="22">
        <v>-2.7499999999999999E-6</v>
      </c>
      <c r="B977" s="22">
        <v>2.9802763485000001E-2</v>
      </c>
    </row>
    <row r="978" spans="1:2" x14ac:dyDescent="0.3">
      <c r="A978" s="22">
        <v>-2.745E-6</v>
      </c>
      <c r="B978" s="22">
        <v>3.0606783576999998E-2</v>
      </c>
    </row>
    <row r="979" spans="1:2" x14ac:dyDescent="0.3">
      <c r="A979" s="22">
        <v>-2.74E-6</v>
      </c>
      <c r="B979" s="22">
        <v>2.9802763485000001E-2</v>
      </c>
    </row>
    <row r="980" spans="1:2" x14ac:dyDescent="0.3">
      <c r="A980" s="22">
        <v>-2.7350000000000001E-6</v>
      </c>
      <c r="B980" s="22">
        <v>3.0606783576999998E-2</v>
      </c>
    </row>
    <row r="981" spans="1:2" x14ac:dyDescent="0.3">
      <c r="A981" s="22">
        <v>-2.7300000000000001E-6</v>
      </c>
      <c r="B981" s="22">
        <v>2.7390703209999999E-2</v>
      </c>
    </row>
    <row r="982" spans="1:2" x14ac:dyDescent="0.3">
      <c r="A982" s="22">
        <v>-2.7250000000000002E-6</v>
      </c>
      <c r="B982" s="22">
        <v>3.2214823761000003E-2</v>
      </c>
    </row>
    <row r="983" spans="1:2" x14ac:dyDescent="0.3">
      <c r="A983" s="22">
        <v>-2.7199999999999998E-6</v>
      </c>
      <c r="B983" s="22">
        <v>2.8194723301000001E-2</v>
      </c>
    </row>
    <row r="984" spans="1:2" x14ac:dyDescent="0.3">
      <c r="A984" s="22">
        <v>-2.7149999999999998E-6</v>
      </c>
      <c r="B984" s="22">
        <v>2.8194723301999999E-2</v>
      </c>
    </row>
    <row r="985" spans="1:2" x14ac:dyDescent="0.3">
      <c r="A985" s="22">
        <v>-2.7099999999999999E-6</v>
      </c>
      <c r="B985" s="22">
        <v>3.1410803669000002E-2</v>
      </c>
    </row>
    <row r="986" spans="1:2" x14ac:dyDescent="0.3">
      <c r="A986" s="22">
        <v>-2.7049999999999999E-6</v>
      </c>
      <c r="B986" s="22">
        <v>2.9802763485000001E-2</v>
      </c>
    </row>
    <row r="987" spans="1:2" x14ac:dyDescent="0.3">
      <c r="A987" s="22">
        <v>-2.7E-6</v>
      </c>
      <c r="B987" s="22">
        <v>3.0606783576999998E-2</v>
      </c>
    </row>
    <row r="988" spans="1:2" x14ac:dyDescent="0.3">
      <c r="A988" s="22">
        <v>-2.695E-6</v>
      </c>
      <c r="B988" s="22">
        <v>2.8998743393000001E-2</v>
      </c>
    </row>
    <row r="989" spans="1:2" x14ac:dyDescent="0.3">
      <c r="A989" s="22">
        <v>-2.6900000000000001E-6</v>
      </c>
      <c r="B989" s="22">
        <v>3.1410803669000002E-2</v>
      </c>
    </row>
    <row r="990" spans="1:2" x14ac:dyDescent="0.3">
      <c r="A990" s="22">
        <v>-2.6850000000000001E-6</v>
      </c>
      <c r="B990" s="22">
        <v>2.8998743394E-2</v>
      </c>
    </row>
    <row r="991" spans="1:2" x14ac:dyDescent="0.3">
      <c r="A991" s="22">
        <v>-2.6800000000000002E-6</v>
      </c>
      <c r="B991" s="22">
        <v>3.1410803669000002E-2</v>
      </c>
    </row>
    <row r="992" spans="1:2" x14ac:dyDescent="0.3">
      <c r="A992" s="22">
        <v>-2.6749999999999998E-6</v>
      </c>
      <c r="B992" s="22">
        <v>3.1410803669000002E-2</v>
      </c>
    </row>
    <row r="993" spans="1:2" x14ac:dyDescent="0.3">
      <c r="A993" s="22">
        <v>-2.6699999999999998E-6</v>
      </c>
      <c r="B993" s="22">
        <v>3.1410803669000002E-2</v>
      </c>
    </row>
    <row r="994" spans="1:2" x14ac:dyDescent="0.3">
      <c r="A994" s="22">
        <v>-2.6649999999999999E-6</v>
      </c>
      <c r="B994" s="22">
        <v>3.2214823761000003E-2</v>
      </c>
    </row>
    <row r="995" spans="1:2" x14ac:dyDescent="0.3">
      <c r="A995" s="22">
        <v>-2.6599999999999999E-6</v>
      </c>
      <c r="B995" s="22">
        <v>2.8194723301999999E-2</v>
      </c>
    </row>
    <row r="996" spans="1:2" x14ac:dyDescent="0.3">
      <c r="A996" s="22">
        <v>-2.655E-6</v>
      </c>
      <c r="B996" s="22">
        <v>3.1410803669000002E-2</v>
      </c>
    </row>
    <row r="997" spans="1:2" x14ac:dyDescent="0.3">
      <c r="A997" s="22">
        <v>-2.65E-6</v>
      </c>
      <c r="B997" s="22">
        <v>2.7390703209999999E-2</v>
      </c>
    </row>
    <row r="998" spans="1:2" x14ac:dyDescent="0.3">
      <c r="A998" s="22">
        <v>-2.6450000000000001E-6</v>
      </c>
      <c r="B998" s="22">
        <v>2.9802763486E-2</v>
      </c>
    </row>
    <row r="999" spans="1:2" x14ac:dyDescent="0.3">
      <c r="A999" s="22">
        <v>-2.6400000000000001E-6</v>
      </c>
      <c r="B999" s="22">
        <v>3.2214823761000003E-2</v>
      </c>
    </row>
    <row r="1000" spans="1:2" x14ac:dyDescent="0.3">
      <c r="A1000" s="22">
        <v>-2.6350000000000002E-6</v>
      </c>
      <c r="B1000" s="22">
        <v>2.9802763485000001E-2</v>
      </c>
    </row>
    <row r="1001" spans="1:2" x14ac:dyDescent="0.3">
      <c r="A1001" s="22">
        <v>-2.6299999999999998E-6</v>
      </c>
      <c r="B1001" s="22">
        <v>2.8998743393000001E-2</v>
      </c>
    </row>
    <row r="1002" spans="1:2" x14ac:dyDescent="0.3">
      <c r="A1002" s="22">
        <v>-2.6249999999999999E-6</v>
      </c>
      <c r="B1002" s="22">
        <v>3.1410803669000002E-2</v>
      </c>
    </row>
    <row r="1003" spans="1:2" x14ac:dyDescent="0.3">
      <c r="A1003" s="22">
        <v>-2.6199999999999999E-6</v>
      </c>
      <c r="B1003" s="22">
        <v>3.1410803669000002E-2</v>
      </c>
    </row>
    <row r="1004" spans="1:2" x14ac:dyDescent="0.3">
      <c r="A1004" s="22">
        <v>-2.615E-6</v>
      </c>
      <c r="B1004" s="22">
        <v>2.8998743393000001E-2</v>
      </c>
    </row>
    <row r="1005" spans="1:2" x14ac:dyDescent="0.3">
      <c r="A1005" s="22">
        <v>-2.61E-6</v>
      </c>
      <c r="B1005" s="22">
        <v>3.1410803669000002E-2</v>
      </c>
    </row>
    <row r="1006" spans="1:2" x14ac:dyDescent="0.3">
      <c r="A1006" s="22">
        <v>-2.605E-6</v>
      </c>
      <c r="B1006" s="22">
        <v>3.1410803669000002E-2</v>
      </c>
    </row>
    <row r="1007" spans="1:2" x14ac:dyDescent="0.3">
      <c r="A1007" s="22">
        <v>-2.6000000000000001E-6</v>
      </c>
      <c r="B1007" s="22">
        <v>2.7390703209999999E-2</v>
      </c>
    </row>
    <row r="1008" spans="1:2" x14ac:dyDescent="0.3">
      <c r="A1008" s="22">
        <v>-2.5950000000000001E-6</v>
      </c>
      <c r="B1008" s="22">
        <v>3.1410803669000002E-2</v>
      </c>
    </row>
    <row r="1009" spans="1:2" x14ac:dyDescent="0.3">
      <c r="A1009" s="22">
        <v>-2.5900000000000002E-6</v>
      </c>
      <c r="B1009" s="22">
        <v>2.7390703209999999E-2</v>
      </c>
    </row>
    <row r="1010" spans="1:2" x14ac:dyDescent="0.3">
      <c r="A1010" s="22">
        <v>-2.5849999999999998E-6</v>
      </c>
      <c r="B1010" s="22">
        <v>3.3822863944999997E-2</v>
      </c>
    </row>
    <row r="1011" spans="1:2" x14ac:dyDescent="0.3">
      <c r="A1011" s="22">
        <v>-2.5799999999999999E-6</v>
      </c>
      <c r="B1011" s="22">
        <v>2.9802763485000001E-2</v>
      </c>
    </row>
    <row r="1012" spans="1:2" x14ac:dyDescent="0.3">
      <c r="A1012" s="22">
        <v>-2.5749999999999999E-6</v>
      </c>
      <c r="B1012" s="22">
        <v>2.8998743393000001E-2</v>
      </c>
    </row>
    <row r="1013" spans="1:2" x14ac:dyDescent="0.3">
      <c r="A1013" s="22">
        <v>-2.57E-6</v>
      </c>
      <c r="B1013" s="22">
        <v>2.8998743394E-2</v>
      </c>
    </row>
    <row r="1014" spans="1:2" x14ac:dyDescent="0.3">
      <c r="A1014" s="22">
        <v>-2.565E-6</v>
      </c>
      <c r="B1014" s="22">
        <v>2.8998743394E-2</v>
      </c>
    </row>
    <row r="1015" spans="1:2" x14ac:dyDescent="0.3">
      <c r="A1015" s="22">
        <v>-2.5600000000000001E-6</v>
      </c>
      <c r="B1015" s="22">
        <v>3.2214823761000003E-2</v>
      </c>
    </row>
    <row r="1016" spans="1:2" x14ac:dyDescent="0.3">
      <c r="A1016" s="22">
        <v>-2.5550000000000001E-6</v>
      </c>
      <c r="B1016" s="22">
        <v>3.2214823761000003E-2</v>
      </c>
    </row>
    <row r="1017" spans="1:2" x14ac:dyDescent="0.3">
      <c r="A1017" s="22">
        <v>-2.5500000000000001E-6</v>
      </c>
      <c r="B1017" s="22">
        <v>2.9802763486E-2</v>
      </c>
    </row>
    <row r="1018" spans="1:2" x14ac:dyDescent="0.3">
      <c r="A1018" s="22">
        <v>-2.5450000000000002E-6</v>
      </c>
      <c r="B1018" s="22">
        <v>3.6234924219999999E-2</v>
      </c>
    </row>
    <row r="1019" spans="1:2" x14ac:dyDescent="0.3">
      <c r="A1019" s="22">
        <v>-2.5399999999999998E-6</v>
      </c>
      <c r="B1019" s="22">
        <v>3.2214823761000003E-2</v>
      </c>
    </row>
    <row r="1020" spans="1:2" x14ac:dyDescent="0.3">
      <c r="A1020" s="22">
        <v>-2.5349999999999999E-6</v>
      </c>
      <c r="B1020" s="22">
        <v>3.2214823761000003E-2</v>
      </c>
    </row>
    <row r="1021" spans="1:2" x14ac:dyDescent="0.3">
      <c r="A1021" s="22">
        <v>-2.5299999999999999E-6</v>
      </c>
      <c r="B1021" s="22">
        <v>3.1410803669000002E-2</v>
      </c>
    </row>
    <row r="1022" spans="1:2" x14ac:dyDescent="0.3">
      <c r="A1022" s="22">
        <v>-2.525E-6</v>
      </c>
      <c r="B1022" s="22">
        <v>3.3822863944999997E-2</v>
      </c>
    </row>
    <row r="1023" spans="1:2" x14ac:dyDescent="0.3">
      <c r="A1023" s="22">
        <v>-2.52E-6</v>
      </c>
      <c r="B1023" s="22">
        <v>3.0606783576999998E-2</v>
      </c>
    </row>
    <row r="1024" spans="1:2" x14ac:dyDescent="0.3">
      <c r="A1024" s="22">
        <v>-2.5150000000000001E-6</v>
      </c>
      <c r="B1024" s="22">
        <v>3.0606783576999998E-2</v>
      </c>
    </row>
    <row r="1025" spans="1:2" x14ac:dyDescent="0.3">
      <c r="A1025" s="22">
        <v>-2.5100000000000001E-6</v>
      </c>
      <c r="B1025" s="22">
        <v>3.3018843853000003E-2</v>
      </c>
    </row>
    <row r="1026" spans="1:2" x14ac:dyDescent="0.3">
      <c r="A1026" s="22">
        <v>-2.5050000000000002E-6</v>
      </c>
      <c r="B1026" s="22">
        <v>3.1410803669000002E-2</v>
      </c>
    </row>
    <row r="1027" spans="1:2" x14ac:dyDescent="0.3">
      <c r="A1027" s="22">
        <v>-2.5000000000000002E-6</v>
      </c>
      <c r="B1027" s="22">
        <v>3.3018843853000003E-2</v>
      </c>
    </row>
    <row r="1028" spans="1:2" x14ac:dyDescent="0.3">
      <c r="A1028" s="22">
        <v>-2.4949999999999998E-6</v>
      </c>
      <c r="B1028" s="22">
        <v>3.3018843853000003E-2</v>
      </c>
    </row>
    <row r="1029" spans="1:2" x14ac:dyDescent="0.3">
      <c r="A1029" s="22">
        <v>-2.4899999999999999E-6</v>
      </c>
      <c r="B1029" s="22">
        <v>3.2214823761000003E-2</v>
      </c>
    </row>
    <row r="1030" spans="1:2" x14ac:dyDescent="0.3">
      <c r="A1030" s="22">
        <v>-2.4849999999999999E-6</v>
      </c>
      <c r="B1030" s="22">
        <v>3.0606783576999998E-2</v>
      </c>
    </row>
    <row r="1031" spans="1:2" x14ac:dyDescent="0.3">
      <c r="A1031" s="22">
        <v>-2.48E-6</v>
      </c>
      <c r="B1031" s="22">
        <v>3.1410803669000002E-2</v>
      </c>
    </row>
    <row r="1032" spans="1:2" x14ac:dyDescent="0.3">
      <c r="A1032" s="22">
        <v>-2.475E-6</v>
      </c>
      <c r="B1032" s="22">
        <v>3.2214823761000003E-2</v>
      </c>
    </row>
    <row r="1033" spans="1:2" x14ac:dyDescent="0.3">
      <c r="A1033" s="22">
        <v>-2.4700000000000001E-6</v>
      </c>
      <c r="B1033" s="22">
        <v>3.1410803669000002E-2</v>
      </c>
    </row>
    <row r="1034" spans="1:2" x14ac:dyDescent="0.3">
      <c r="A1034" s="22">
        <v>-2.4650000000000001E-6</v>
      </c>
      <c r="B1034" s="22">
        <v>3.1410803669000002E-2</v>
      </c>
    </row>
    <row r="1035" spans="1:2" x14ac:dyDescent="0.3">
      <c r="A1035" s="22">
        <v>-2.4600000000000002E-6</v>
      </c>
      <c r="B1035" s="22">
        <v>3.3822863944999997E-2</v>
      </c>
    </row>
    <row r="1036" spans="1:2" x14ac:dyDescent="0.3">
      <c r="A1036" s="22">
        <v>-2.4550000000000002E-6</v>
      </c>
      <c r="B1036" s="22">
        <v>2.9802763485000001E-2</v>
      </c>
    </row>
    <row r="1037" spans="1:2" x14ac:dyDescent="0.3">
      <c r="A1037" s="22">
        <v>-2.4499999999999998E-6</v>
      </c>
      <c r="B1037" s="22">
        <v>3.1410803669000002E-2</v>
      </c>
    </row>
    <row r="1038" spans="1:2" x14ac:dyDescent="0.3">
      <c r="A1038" s="22">
        <v>-2.4449999999999999E-6</v>
      </c>
      <c r="B1038" s="22">
        <v>3.2214823761000003E-2</v>
      </c>
    </row>
    <row r="1039" spans="1:2" x14ac:dyDescent="0.3">
      <c r="A1039" s="22">
        <v>-2.4399999999999999E-6</v>
      </c>
      <c r="B1039" s="22">
        <v>3.2214823761000003E-2</v>
      </c>
    </row>
    <row r="1040" spans="1:2" x14ac:dyDescent="0.3">
      <c r="A1040" s="22">
        <v>-2.435E-6</v>
      </c>
      <c r="B1040" s="22">
        <v>2.9802763485000001E-2</v>
      </c>
    </row>
    <row r="1041" spans="1:2" x14ac:dyDescent="0.3">
      <c r="A1041" s="22">
        <v>-2.43E-6</v>
      </c>
      <c r="B1041" s="22">
        <v>3.3018843853000003E-2</v>
      </c>
    </row>
    <row r="1042" spans="1:2" x14ac:dyDescent="0.3">
      <c r="A1042" s="22">
        <v>-2.4250000000000001E-6</v>
      </c>
      <c r="B1042" s="22">
        <v>2.9802763485000001E-2</v>
      </c>
    </row>
    <row r="1043" spans="1:2" x14ac:dyDescent="0.3">
      <c r="A1043" s="22">
        <v>-2.4200000000000001E-6</v>
      </c>
      <c r="B1043" s="22">
        <v>2.9802763485000001E-2</v>
      </c>
    </row>
    <row r="1044" spans="1:2" x14ac:dyDescent="0.3">
      <c r="A1044" s="22">
        <v>-2.4150000000000002E-6</v>
      </c>
      <c r="B1044" s="22">
        <v>2.8998743393000001E-2</v>
      </c>
    </row>
    <row r="1045" spans="1:2" x14ac:dyDescent="0.3">
      <c r="A1045" s="22">
        <v>-2.4099999999999998E-6</v>
      </c>
      <c r="B1045" s="22">
        <v>3.1410803669000002E-2</v>
      </c>
    </row>
    <row r="1046" spans="1:2" x14ac:dyDescent="0.3">
      <c r="A1046" s="22">
        <v>-2.4049999999999998E-6</v>
      </c>
      <c r="B1046" s="22">
        <v>3.0606783576999998E-2</v>
      </c>
    </row>
    <row r="1047" spans="1:2" x14ac:dyDescent="0.3">
      <c r="A1047" s="22">
        <v>-2.3999999999999999E-6</v>
      </c>
      <c r="B1047" s="22">
        <v>3.2214823761000003E-2</v>
      </c>
    </row>
    <row r="1048" spans="1:2" x14ac:dyDescent="0.3">
      <c r="A1048" s="22">
        <v>-2.3949999999999999E-6</v>
      </c>
      <c r="B1048" s="22">
        <v>3.3018843853000003E-2</v>
      </c>
    </row>
    <row r="1049" spans="1:2" x14ac:dyDescent="0.3">
      <c r="A1049" s="22">
        <v>-2.39E-6</v>
      </c>
      <c r="B1049" s="22">
        <v>2.8194723301000001E-2</v>
      </c>
    </row>
    <row r="1050" spans="1:2" x14ac:dyDescent="0.3">
      <c r="A1050" s="22">
        <v>-2.385E-6</v>
      </c>
      <c r="B1050" s="22">
        <v>3.1410803669000002E-2</v>
      </c>
    </row>
    <row r="1051" spans="1:2" x14ac:dyDescent="0.3">
      <c r="A1051" s="22">
        <v>-2.3800000000000001E-6</v>
      </c>
      <c r="B1051" s="22">
        <v>2.7390703209999999E-2</v>
      </c>
    </row>
    <row r="1052" spans="1:2" x14ac:dyDescent="0.3">
      <c r="A1052" s="22">
        <v>-2.3750000000000001E-6</v>
      </c>
      <c r="B1052" s="22">
        <v>2.9802763485000001E-2</v>
      </c>
    </row>
    <row r="1053" spans="1:2" x14ac:dyDescent="0.3">
      <c r="A1053" s="22">
        <v>-2.3700000000000002E-6</v>
      </c>
      <c r="B1053" s="22">
        <v>2.8194723301999999E-2</v>
      </c>
    </row>
    <row r="1054" spans="1:2" x14ac:dyDescent="0.3">
      <c r="A1054" s="22">
        <v>-2.3649999999999998E-6</v>
      </c>
      <c r="B1054" s="22">
        <v>3.2214823761000003E-2</v>
      </c>
    </row>
    <row r="1055" spans="1:2" x14ac:dyDescent="0.3">
      <c r="A1055" s="22">
        <v>-2.3599999999999999E-6</v>
      </c>
      <c r="B1055" s="22">
        <v>3.0606783576999998E-2</v>
      </c>
    </row>
    <row r="1056" spans="1:2" x14ac:dyDescent="0.3">
      <c r="A1056" s="22">
        <v>-2.3549999999999999E-6</v>
      </c>
      <c r="B1056" s="22">
        <v>3.1410803669000002E-2</v>
      </c>
    </row>
    <row r="1057" spans="1:2" x14ac:dyDescent="0.3">
      <c r="A1057" s="22">
        <v>-2.3499999999999999E-6</v>
      </c>
      <c r="B1057" s="22">
        <v>3.1410803669000002E-2</v>
      </c>
    </row>
    <row r="1058" spans="1:2" x14ac:dyDescent="0.3">
      <c r="A1058" s="22">
        <v>-2.345E-6</v>
      </c>
      <c r="B1058" s="22">
        <v>2.9802763485000001E-2</v>
      </c>
    </row>
    <row r="1059" spans="1:2" x14ac:dyDescent="0.3">
      <c r="A1059" s="22">
        <v>-2.34E-6</v>
      </c>
      <c r="B1059" s="22">
        <v>3.1410803669000002E-2</v>
      </c>
    </row>
    <row r="1060" spans="1:2" x14ac:dyDescent="0.3">
      <c r="A1060" s="22">
        <v>-2.3350000000000001E-6</v>
      </c>
      <c r="B1060" s="22">
        <v>3.3018843853000003E-2</v>
      </c>
    </row>
    <row r="1061" spans="1:2" x14ac:dyDescent="0.3">
      <c r="A1061" s="22">
        <v>-2.3300000000000001E-6</v>
      </c>
      <c r="B1061" s="22">
        <v>2.9802763485000001E-2</v>
      </c>
    </row>
    <row r="1062" spans="1:2" x14ac:dyDescent="0.3">
      <c r="A1062" s="22">
        <v>-2.3250000000000002E-6</v>
      </c>
      <c r="B1062" s="22">
        <v>2.8998743394E-2</v>
      </c>
    </row>
    <row r="1063" spans="1:2" x14ac:dyDescent="0.3">
      <c r="A1063" s="22">
        <v>-2.3199999999999998E-6</v>
      </c>
      <c r="B1063" s="22">
        <v>2.7390703209999999E-2</v>
      </c>
    </row>
    <row r="1064" spans="1:2" x14ac:dyDescent="0.3">
      <c r="A1064" s="22">
        <v>-2.3149999999999999E-6</v>
      </c>
      <c r="B1064" s="22">
        <v>2.9802763485000001E-2</v>
      </c>
    </row>
    <row r="1065" spans="1:2" x14ac:dyDescent="0.3">
      <c r="A1065" s="22">
        <v>-2.3099999999999999E-6</v>
      </c>
      <c r="B1065" s="22">
        <v>2.9802763485000001E-2</v>
      </c>
    </row>
    <row r="1066" spans="1:2" x14ac:dyDescent="0.3">
      <c r="A1066" s="22">
        <v>-2.305E-6</v>
      </c>
      <c r="B1066" s="22">
        <v>3.4626884035999998E-2</v>
      </c>
    </row>
    <row r="1067" spans="1:2" x14ac:dyDescent="0.3">
      <c r="A1067" s="22">
        <v>-2.3E-6</v>
      </c>
      <c r="B1067" s="22">
        <v>2.8998743394E-2</v>
      </c>
    </row>
    <row r="1068" spans="1:2" x14ac:dyDescent="0.3">
      <c r="A1068" s="22">
        <v>-2.295E-6</v>
      </c>
      <c r="B1068" s="22">
        <v>2.8998743393000001E-2</v>
      </c>
    </row>
    <row r="1069" spans="1:2" x14ac:dyDescent="0.3">
      <c r="A1069" s="22">
        <v>-2.2900000000000001E-6</v>
      </c>
      <c r="B1069" s="22">
        <v>3.3018843853000003E-2</v>
      </c>
    </row>
    <row r="1070" spans="1:2" x14ac:dyDescent="0.3">
      <c r="A1070" s="22">
        <v>-2.2850000000000001E-6</v>
      </c>
      <c r="B1070" s="22">
        <v>3.0606783576999998E-2</v>
      </c>
    </row>
    <row r="1071" spans="1:2" x14ac:dyDescent="0.3">
      <c r="A1071" s="22">
        <v>-2.2800000000000002E-6</v>
      </c>
      <c r="B1071" s="22">
        <v>3.0606783576999998E-2</v>
      </c>
    </row>
    <row r="1072" spans="1:2" x14ac:dyDescent="0.3">
      <c r="A1072" s="22">
        <v>-2.2749999999999998E-6</v>
      </c>
      <c r="B1072" s="22">
        <v>3.0606783576999998E-2</v>
      </c>
    </row>
    <row r="1073" spans="1:2" x14ac:dyDescent="0.3">
      <c r="A1073" s="22">
        <v>-2.2699999999999999E-6</v>
      </c>
      <c r="B1073" s="22">
        <v>3.2214823761000003E-2</v>
      </c>
    </row>
    <row r="1074" spans="1:2" x14ac:dyDescent="0.3">
      <c r="A1074" s="22">
        <v>-2.2649999999999999E-6</v>
      </c>
      <c r="B1074" s="22">
        <v>2.9802763485000001E-2</v>
      </c>
    </row>
    <row r="1075" spans="1:2" x14ac:dyDescent="0.3">
      <c r="A1075" s="22">
        <v>-2.26E-6</v>
      </c>
      <c r="B1075" s="22">
        <v>3.2214823761000003E-2</v>
      </c>
    </row>
    <row r="1076" spans="1:2" x14ac:dyDescent="0.3">
      <c r="A1076" s="22">
        <v>-2.255E-6</v>
      </c>
      <c r="B1076" s="22">
        <v>2.8998743394E-2</v>
      </c>
    </row>
    <row r="1077" spans="1:2" x14ac:dyDescent="0.3">
      <c r="A1077" s="22">
        <v>-2.2500000000000001E-6</v>
      </c>
      <c r="B1077" s="22">
        <v>2.9802763486E-2</v>
      </c>
    </row>
    <row r="1078" spans="1:2" x14ac:dyDescent="0.3">
      <c r="A1078" s="22">
        <v>-2.2450000000000001E-6</v>
      </c>
      <c r="B1078" s="22">
        <v>3.3018843853000003E-2</v>
      </c>
    </row>
    <row r="1079" spans="1:2" x14ac:dyDescent="0.3">
      <c r="A1079" s="22">
        <v>-2.2400000000000002E-6</v>
      </c>
      <c r="B1079" s="22">
        <v>3.0606783576999998E-2</v>
      </c>
    </row>
    <row r="1080" spans="1:2" x14ac:dyDescent="0.3">
      <c r="A1080" s="22">
        <v>-2.2350000000000002E-6</v>
      </c>
      <c r="B1080" s="22">
        <v>3.1410803669000002E-2</v>
      </c>
    </row>
    <row r="1081" spans="1:2" x14ac:dyDescent="0.3">
      <c r="A1081" s="22">
        <v>-2.2299999999999998E-6</v>
      </c>
      <c r="B1081" s="22">
        <v>3.1410803669000002E-2</v>
      </c>
    </row>
    <row r="1082" spans="1:2" x14ac:dyDescent="0.3">
      <c r="A1082" s="22">
        <v>-2.2249999999999999E-6</v>
      </c>
      <c r="B1082" s="22">
        <v>3.2214823761000003E-2</v>
      </c>
    </row>
    <row r="1083" spans="1:2" x14ac:dyDescent="0.3">
      <c r="A1083" s="22">
        <v>-2.2199999999999999E-6</v>
      </c>
      <c r="B1083" s="22">
        <v>3.0606783576999998E-2</v>
      </c>
    </row>
    <row r="1084" spans="1:2" x14ac:dyDescent="0.3">
      <c r="A1084" s="22">
        <v>-2.215E-6</v>
      </c>
      <c r="B1084" s="22">
        <v>2.9802763485000001E-2</v>
      </c>
    </row>
    <row r="1085" spans="1:2" x14ac:dyDescent="0.3">
      <c r="A1085" s="22">
        <v>-2.21E-6</v>
      </c>
      <c r="B1085" s="22">
        <v>3.3018843853000003E-2</v>
      </c>
    </row>
    <row r="1086" spans="1:2" x14ac:dyDescent="0.3">
      <c r="A1086" s="22">
        <v>-2.2050000000000001E-6</v>
      </c>
      <c r="B1086" s="22">
        <v>3.2214823761000003E-2</v>
      </c>
    </row>
    <row r="1087" spans="1:2" x14ac:dyDescent="0.3">
      <c r="A1087" s="22">
        <v>-2.2000000000000001E-6</v>
      </c>
      <c r="B1087" s="22">
        <v>3.3018843853000003E-2</v>
      </c>
    </row>
    <row r="1088" spans="1:2" x14ac:dyDescent="0.3">
      <c r="A1088" s="22">
        <v>-2.1950000000000002E-6</v>
      </c>
      <c r="B1088" s="22">
        <v>3.1410803669000002E-2</v>
      </c>
    </row>
    <row r="1089" spans="1:2" x14ac:dyDescent="0.3">
      <c r="A1089" s="22">
        <v>-2.1900000000000002E-6</v>
      </c>
      <c r="B1089" s="22">
        <v>3.1410803669000002E-2</v>
      </c>
    </row>
    <row r="1090" spans="1:2" x14ac:dyDescent="0.3">
      <c r="A1090" s="22">
        <v>-2.1849999999999998E-6</v>
      </c>
      <c r="B1090" s="22">
        <v>3.1410803669000002E-2</v>
      </c>
    </row>
    <row r="1091" spans="1:2" x14ac:dyDescent="0.3">
      <c r="A1091" s="22">
        <v>-2.1799999999999999E-6</v>
      </c>
      <c r="B1091" s="22">
        <v>3.1410803669000002E-2</v>
      </c>
    </row>
    <row r="1092" spans="1:2" x14ac:dyDescent="0.3">
      <c r="A1092" s="22">
        <v>-2.1749999999999999E-6</v>
      </c>
      <c r="B1092" s="22">
        <v>3.3018843853000003E-2</v>
      </c>
    </row>
    <row r="1093" spans="1:2" x14ac:dyDescent="0.3">
      <c r="A1093" s="22">
        <v>-2.17E-6</v>
      </c>
      <c r="B1093" s="22">
        <v>3.2214823761000003E-2</v>
      </c>
    </row>
    <row r="1094" spans="1:2" x14ac:dyDescent="0.3">
      <c r="A1094" s="22">
        <v>-2.165E-6</v>
      </c>
      <c r="B1094" s="22">
        <v>3.2214823761000003E-2</v>
      </c>
    </row>
    <row r="1095" spans="1:2" x14ac:dyDescent="0.3">
      <c r="A1095" s="22">
        <v>-2.1600000000000001E-6</v>
      </c>
      <c r="B1095" s="22">
        <v>2.9802763485000001E-2</v>
      </c>
    </row>
    <row r="1096" spans="1:2" x14ac:dyDescent="0.3">
      <c r="A1096" s="22">
        <v>-2.1550000000000001E-6</v>
      </c>
      <c r="B1096" s="22">
        <v>3.1410803669000002E-2</v>
      </c>
    </row>
    <row r="1097" spans="1:2" x14ac:dyDescent="0.3">
      <c r="A1097" s="22">
        <v>-2.1500000000000002E-6</v>
      </c>
      <c r="B1097" s="22">
        <v>3.3822863944999997E-2</v>
      </c>
    </row>
    <row r="1098" spans="1:2" x14ac:dyDescent="0.3">
      <c r="A1098" s="22">
        <v>-2.1449999999999998E-6</v>
      </c>
      <c r="B1098" s="22">
        <v>3.3018843853000003E-2</v>
      </c>
    </row>
    <row r="1099" spans="1:2" x14ac:dyDescent="0.3">
      <c r="A1099" s="22">
        <v>-2.1399999999999998E-6</v>
      </c>
      <c r="B1099" s="22">
        <v>3.3822863944999997E-2</v>
      </c>
    </row>
    <row r="1100" spans="1:2" x14ac:dyDescent="0.3">
      <c r="A1100" s="22">
        <v>-2.1349999999999999E-6</v>
      </c>
      <c r="B1100" s="22">
        <v>3.1410803669000002E-2</v>
      </c>
    </row>
    <row r="1101" spans="1:2" x14ac:dyDescent="0.3">
      <c r="A1101" s="22">
        <v>-2.1299999999999999E-6</v>
      </c>
      <c r="B1101" s="22">
        <v>3.2214823761000003E-2</v>
      </c>
    </row>
    <row r="1102" spans="1:2" x14ac:dyDescent="0.3">
      <c r="A1102" s="22">
        <v>-2.125E-6</v>
      </c>
      <c r="B1102" s="22">
        <v>3.2214823761000003E-2</v>
      </c>
    </row>
    <row r="1103" spans="1:2" x14ac:dyDescent="0.3">
      <c r="A1103" s="22">
        <v>-2.12E-6</v>
      </c>
      <c r="B1103" s="22">
        <v>3.0606783576999998E-2</v>
      </c>
    </row>
    <row r="1104" spans="1:2" x14ac:dyDescent="0.3">
      <c r="A1104" s="22">
        <v>-2.1150000000000001E-6</v>
      </c>
      <c r="B1104" s="22">
        <v>3.1410803669000002E-2</v>
      </c>
    </row>
    <row r="1105" spans="1:2" x14ac:dyDescent="0.3">
      <c r="A1105" s="22">
        <v>-2.1100000000000001E-6</v>
      </c>
      <c r="B1105" s="22">
        <v>2.9802763485000001E-2</v>
      </c>
    </row>
    <row r="1106" spans="1:2" x14ac:dyDescent="0.3">
      <c r="A1106" s="22">
        <v>-2.1050000000000002E-6</v>
      </c>
      <c r="B1106" s="22">
        <v>3.0606783576999998E-2</v>
      </c>
    </row>
    <row r="1107" spans="1:2" x14ac:dyDescent="0.3">
      <c r="A1107" s="22">
        <v>-2.0999999999999998E-6</v>
      </c>
      <c r="B1107" s="22">
        <v>2.8194723301999999E-2</v>
      </c>
    </row>
    <row r="1108" spans="1:2" x14ac:dyDescent="0.3">
      <c r="A1108" s="22">
        <v>-2.0949999999999998E-6</v>
      </c>
      <c r="B1108" s="22">
        <v>3.2214823761000003E-2</v>
      </c>
    </row>
    <row r="1109" spans="1:2" x14ac:dyDescent="0.3">
      <c r="A1109" s="22">
        <v>-2.0899999999999999E-6</v>
      </c>
      <c r="B1109" s="22">
        <v>3.0606783576999998E-2</v>
      </c>
    </row>
    <row r="1110" spans="1:2" x14ac:dyDescent="0.3">
      <c r="A1110" s="22">
        <v>-2.0849999999999999E-6</v>
      </c>
      <c r="B1110" s="22">
        <v>3.0606783576999998E-2</v>
      </c>
    </row>
    <row r="1111" spans="1:2" x14ac:dyDescent="0.3">
      <c r="A1111" s="22">
        <v>-2.08E-6</v>
      </c>
      <c r="B1111" s="22">
        <v>3.1410803669000002E-2</v>
      </c>
    </row>
    <row r="1112" spans="1:2" x14ac:dyDescent="0.3">
      <c r="A1112" s="22">
        <v>-2.075E-6</v>
      </c>
      <c r="B1112" s="22">
        <v>3.1410803669000002E-2</v>
      </c>
    </row>
    <row r="1113" spans="1:2" x14ac:dyDescent="0.3">
      <c r="A1113" s="22">
        <v>-2.0700000000000001E-6</v>
      </c>
      <c r="B1113" s="22">
        <v>3.2214823761000003E-2</v>
      </c>
    </row>
    <row r="1114" spans="1:2" x14ac:dyDescent="0.3">
      <c r="A1114" s="22">
        <v>-2.0650000000000001E-6</v>
      </c>
      <c r="B1114" s="22">
        <v>2.8194723301999999E-2</v>
      </c>
    </row>
    <row r="1115" spans="1:2" x14ac:dyDescent="0.3">
      <c r="A1115" s="22">
        <v>-2.0600000000000002E-6</v>
      </c>
      <c r="B1115" s="22">
        <v>3.0606783576999998E-2</v>
      </c>
    </row>
    <row r="1116" spans="1:2" x14ac:dyDescent="0.3">
      <c r="A1116" s="22">
        <v>-2.0549999999999998E-6</v>
      </c>
      <c r="B1116" s="22">
        <v>3.2214823761000003E-2</v>
      </c>
    </row>
    <row r="1117" spans="1:2" x14ac:dyDescent="0.3">
      <c r="A1117" s="22">
        <v>-2.0499999999999999E-6</v>
      </c>
      <c r="B1117" s="22">
        <v>2.9802763485000001E-2</v>
      </c>
    </row>
    <row r="1118" spans="1:2" x14ac:dyDescent="0.3">
      <c r="A1118" s="22">
        <v>-2.0449999999999999E-6</v>
      </c>
      <c r="B1118" s="22">
        <v>2.8194723301000001E-2</v>
      </c>
    </row>
    <row r="1119" spans="1:2" x14ac:dyDescent="0.3">
      <c r="A1119" s="22">
        <v>-2.04E-6</v>
      </c>
      <c r="B1119" s="22">
        <v>3.0606783576999998E-2</v>
      </c>
    </row>
    <row r="1120" spans="1:2" x14ac:dyDescent="0.3">
      <c r="A1120" s="22">
        <v>-2.035E-6</v>
      </c>
      <c r="B1120" s="22">
        <v>3.1410803669000002E-2</v>
      </c>
    </row>
    <row r="1121" spans="1:2" x14ac:dyDescent="0.3">
      <c r="A1121" s="22">
        <v>-2.03E-6</v>
      </c>
      <c r="B1121" s="22">
        <v>2.8998743394E-2</v>
      </c>
    </row>
    <row r="1122" spans="1:2" x14ac:dyDescent="0.3">
      <c r="A1122" s="22">
        <v>-2.0250000000000001E-6</v>
      </c>
      <c r="B1122" s="22">
        <v>3.1410803669000002E-2</v>
      </c>
    </row>
    <row r="1123" spans="1:2" x14ac:dyDescent="0.3">
      <c r="A1123" s="22">
        <v>-2.0200000000000001E-6</v>
      </c>
      <c r="B1123" s="22">
        <v>2.8998743393000001E-2</v>
      </c>
    </row>
    <row r="1124" spans="1:2" x14ac:dyDescent="0.3">
      <c r="A1124" s="22">
        <v>-2.0150000000000002E-6</v>
      </c>
      <c r="B1124" s="22">
        <v>2.8998743393000001E-2</v>
      </c>
    </row>
    <row r="1125" spans="1:2" x14ac:dyDescent="0.3">
      <c r="A1125" s="22">
        <v>-2.0099999999999998E-6</v>
      </c>
      <c r="B1125" s="22">
        <v>2.9802763485000001E-2</v>
      </c>
    </row>
    <row r="1126" spans="1:2" x14ac:dyDescent="0.3">
      <c r="A1126" s="22">
        <v>-2.0049999999999999E-6</v>
      </c>
      <c r="B1126" s="22">
        <v>2.9802763485000001E-2</v>
      </c>
    </row>
    <row r="1127" spans="1:2" x14ac:dyDescent="0.3">
      <c r="A1127" s="22">
        <v>-1.9999999999999999E-6</v>
      </c>
      <c r="B1127" s="22">
        <v>3.0606783576999998E-2</v>
      </c>
    </row>
    <row r="1128" spans="1:2" x14ac:dyDescent="0.3">
      <c r="A1128" s="22">
        <v>-1.995E-6</v>
      </c>
      <c r="B1128" s="22">
        <v>2.7390703209999999E-2</v>
      </c>
    </row>
    <row r="1129" spans="1:2" x14ac:dyDescent="0.3">
      <c r="A1129" s="22">
        <v>-1.99E-6</v>
      </c>
      <c r="B1129" s="22">
        <v>3.0606783576999998E-2</v>
      </c>
    </row>
    <row r="1130" spans="1:2" x14ac:dyDescent="0.3">
      <c r="A1130" s="22">
        <v>-1.9850000000000001E-6</v>
      </c>
      <c r="B1130" s="22">
        <v>2.8998743394E-2</v>
      </c>
    </row>
    <row r="1131" spans="1:2" x14ac:dyDescent="0.3">
      <c r="A1131" s="22">
        <v>-1.9800000000000001E-6</v>
      </c>
      <c r="B1131" s="22">
        <v>2.9802763485000001E-2</v>
      </c>
    </row>
    <row r="1132" spans="1:2" x14ac:dyDescent="0.3">
      <c r="A1132" s="22">
        <v>-1.9750000000000001E-6</v>
      </c>
      <c r="B1132" s="22">
        <v>2.9802763485000001E-2</v>
      </c>
    </row>
    <row r="1133" spans="1:2" x14ac:dyDescent="0.3">
      <c r="A1133" s="22">
        <v>-1.9700000000000002E-6</v>
      </c>
      <c r="B1133" s="22">
        <v>3.1410803669000002E-2</v>
      </c>
    </row>
    <row r="1134" spans="1:2" x14ac:dyDescent="0.3">
      <c r="A1134" s="22">
        <v>-1.9649999999999998E-6</v>
      </c>
      <c r="B1134" s="22">
        <v>3.2214823761000003E-2</v>
      </c>
    </row>
    <row r="1135" spans="1:2" x14ac:dyDescent="0.3">
      <c r="A1135" s="22">
        <v>-1.9599999999999999E-6</v>
      </c>
      <c r="B1135" s="22">
        <v>3.3018843853000003E-2</v>
      </c>
    </row>
    <row r="1136" spans="1:2" x14ac:dyDescent="0.3">
      <c r="A1136" s="22">
        <v>-1.9549999999999999E-6</v>
      </c>
      <c r="B1136" s="22">
        <v>3.0606783576999998E-2</v>
      </c>
    </row>
    <row r="1137" spans="1:2" x14ac:dyDescent="0.3">
      <c r="A1137" s="22">
        <v>-1.95E-6</v>
      </c>
      <c r="B1137" s="22">
        <v>3.2214823761000003E-2</v>
      </c>
    </row>
    <row r="1138" spans="1:2" x14ac:dyDescent="0.3">
      <c r="A1138" s="22">
        <v>-1.945E-6</v>
      </c>
      <c r="B1138" s="22">
        <v>3.3822863944999997E-2</v>
      </c>
    </row>
    <row r="1139" spans="1:2" x14ac:dyDescent="0.3">
      <c r="A1139" s="22">
        <v>-1.9400000000000001E-6</v>
      </c>
      <c r="B1139" s="22">
        <v>3.2214823761000003E-2</v>
      </c>
    </row>
    <row r="1140" spans="1:2" x14ac:dyDescent="0.3">
      <c r="A1140" s="22">
        <v>-1.9350000000000001E-6</v>
      </c>
      <c r="B1140" s="22">
        <v>3.2214823761000003E-2</v>
      </c>
    </row>
    <row r="1141" spans="1:2" x14ac:dyDescent="0.3">
      <c r="A1141" s="22">
        <v>-1.9300000000000002E-6</v>
      </c>
      <c r="B1141" s="22">
        <v>3.4626884036999997E-2</v>
      </c>
    </row>
    <row r="1142" spans="1:2" x14ac:dyDescent="0.3">
      <c r="A1142" s="22">
        <v>-1.9250000000000002E-6</v>
      </c>
      <c r="B1142" s="22">
        <v>3.0606783576999998E-2</v>
      </c>
    </row>
    <row r="1143" spans="1:2" x14ac:dyDescent="0.3">
      <c r="A1143" s="22">
        <v>-1.9199999999999998E-6</v>
      </c>
      <c r="B1143" s="22">
        <v>3.5430904127999999E-2</v>
      </c>
    </row>
    <row r="1144" spans="1:2" x14ac:dyDescent="0.3">
      <c r="A1144" s="22">
        <v>-1.9149999999999999E-6</v>
      </c>
      <c r="B1144" s="22">
        <v>2.9802763485000001E-2</v>
      </c>
    </row>
    <row r="1145" spans="1:2" x14ac:dyDescent="0.3">
      <c r="A1145" s="22">
        <v>-1.9099999999999999E-6</v>
      </c>
      <c r="B1145" s="22">
        <v>3.0606783576999998E-2</v>
      </c>
    </row>
    <row r="1146" spans="1:2" x14ac:dyDescent="0.3">
      <c r="A1146" s="22">
        <v>-1.905E-6</v>
      </c>
      <c r="B1146" s="22">
        <v>3.0606783576999998E-2</v>
      </c>
    </row>
    <row r="1147" spans="1:2" x14ac:dyDescent="0.3">
      <c r="A1147" s="22">
        <v>-1.9E-6</v>
      </c>
      <c r="B1147" s="22">
        <v>2.9802763485000001E-2</v>
      </c>
    </row>
    <row r="1148" spans="1:2" x14ac:dyDescent="0.3">
      <c r="A1148" s="22">
        <v>-1.8950000000000001E-6</v>
      </c>
      <c r="B1148" s="22">
        <v>3.0606783576999998E-2</v>
      </c>
    </row>
    <row r="1149" spans="1:2" x14ac:dyDescent="0.3">
      <c r="A1149" s="22">
        <v>-1.8899999999999999E-6</v>
      </c>
      <c r="B1149" s="22">
        <v>3.1410803669000002E-2</v>
      </c>
    </row>
    <row r="1150" spans="1:2" x14ac:dyDescent="0.3">
      <c r="A1150" s="22">
        <v>-1.885E-6</v>
      </c>
      <c r="B1150" s="22">
        <v>3.0606783576999998E-2</v>
      </c>
    </row>
    <row r="1151" spans="1:2" x14ac:dyDescent="0.3">
      <c r="A1151" s="22">
        <v>-1.88E-6</v>
      </c>
      <c r="B1151" s="22">
        <v>2.8998743393000001E-2</v>
      </c>
    </row>
    <row r="1152" spans="1:2" x14ac:dyDescent="0.3">
      <c r="A1152" s="22">
        <v>-1.875E-6</v>
      </c>
      <c r="B1152" s="22">
        <v>2.8998743394E-2</v>
      </c>
    </row>
    <row r="1153" spans="1:2" x14ac:dyDescent="0.3">
      <c r="A1153" s="22">
        <v>-1.8700000000000001E-6</v>
      </c>
      <c r="B1153" s="22">
        <v>3.1410803669000002E-2</v>
      </c>
    </row>
    <row r="1154" spans="1:2" x14ac:dyDescent="0.3">
      <c r="A1154" s="22">
        <v>-1.8649999999999999E-6</v>
      </c>
      <c r="B1154" s="22">
        <v>3.2214823761000003E-2</v>
      </c>
    </row>
    <row r="1155" spans="1:2" x14ac:dyDescent="0.3">
      <c r="A1155" s="22">
        <v>-1.86E-6</v>
      </c>
      <c r="B1155" s="22">
        <v>3.2214823761000003E-2</v>
      </c>
    </row>
    <row r="1156" spans="1:2" x14ac:dyDescent="0.3">
      <c r="A1156" s="22">
        <v>-1.855E-6</v>
      </c>
      <c r="B1156" s="22">
        <v>2.8998743393000001E-2</v>
      </c>
    </row>
    <row r="1157" spans="1:2" x14ac:dyDescent="0.3">
      <c r="A1157" s="22">
        <v>-1.8500000000000001E-6</v>
      </c>
      <c r="B1157" s="22">
        <v>3.0606783576999998E-2</v>
      </c>
    </row>
    <row r="1158" spans="1:2" x14ac:dyDescent="0.3">
      <c r="A1158" s="22">
        <v>-1.8449999999999999E-6</v>
      </c>
      <c r="B1158" s="22">
        <v>2.8194723301999999E-2</v>
      </c>
    </row>
    <row r="1159" spans="1:2" x14ac:dyDescent="0.3">
      <c r="A1159" s="22">
        <v>-1.84E-6</v>
      </c>
      <c r="B1159" s="22">
        <v>2.6586683117999999E-2</v>
      </c>
    </row>
    <row r="1160" spans="1:2" x14ac:dyDescent="0.3">
      <c r="A1160" s="22">
        <v>-1.835E-6</v>
      </c>
      <c r="B1160" s="22">
        <v>3.3822863944999997E-2</v>
      </c>
    </row>
    <row r="1161" spans="1:2" x14ac:dyDescent="0.3">
      <c r="A1161" s="22">
        <v>-1.8300000000000001E-6</v>
      </c>
      <c r="B1161" s="22">
        <v>2.8194723301000001E-2</v>
      </c>
    </row>
    <row r="1162" spans="1:2" x14ac:dyDescent="0.3">
      <c r="A1162" s="22">
        <v>-1.8250000000000001E-6</v>
      </c>
      <c r="B1162" s="22">
        <v>3.2214823761000003E-2</v>
      </c>
    </row>
    <row r="1163" spans="1:2" x14ac:dyDescent="0.3">
      <c r="A1163" s="22">
        <v>-1.8199999999999999E-6</v>
      </c>
      <c r="B1163" s="22">
        <v>3.3018843853000003E-2</v>
      </c>
    </row>
    <row r="1164" spans="1:2" x14ac:dyDescent="0.3">
      <c r="A1164" s="22">
        <v>-1.815E-6</v>
      </c>
      <c r="B1164" s="22">
        <v>2.8998743394E-2</v>
      </c>
    </row>
    <row r="1165" spans="1:2" x14ac:dyDescent="0.3">
      <c r="A1165" s="22">
        <v>-1.81E-6</v>
      </c>
      <c r="B1165" s="22">
        <v>3.1410803669000002E-2</v>
      </c>
    </row>
    <row r="1166" spans="1:2" x14ac:dyDescent="0.3">
      <c r="A1166" s="22">
        <v>-1.8050000000000001E-6</v>
      </c>
      <c r="B1166" s="22">
        <v>2.8194723301000001E-2</v>
      </c>
    </row>
    <row r="1167" spans="1:2" x14ac:dyDescent="0.3">
      <c r="A1167" s="22">
        <v>-1.7999999999999999E-6</v>
      </c>
      <c r="B1167" s="22">
        <v>3.1410803669000002E-2</v>
      </c>
    </row>
    <row r="1168" spans="1:2" x14ac:dyDescent="0.3">
      <c r="A1168" s="22">
        <v>-1.795E-6</v>
      </c>
      <c r="B1168" s="22">
        <v>3.2214823761000003E-2</v>
      </c>
    </row>
    <row r="1169" spans="1:2" x14ac:dyDescent="0.3">
      <c r="A1169" s="22">
        <v>-1.79E-6</v>
      </c>
      <c r="B1169" s="22">
        <v>2.8998743393000001E-2</v>
      </c>
    </row>
    <row r="1170" spans="1:2" x14ac:dyDescent="0.3">
      <c r="A1170" s="22">
        <v>-1.7850000000000001E-6</v>
      </c>
      <c r="B1170" s="22">
        <v>3.2214823761000003E-2</v>
      </c>
    </row>
    <row r="1171" spans="1:2" x14ac:dyDescent="0.3">
      <c r="A1171" s="22">
        <v>-1.7799999999999999E-6</v>
      </c>
      <c r="B1171" s="22">
        <v>3.0606783576999998E-2</v>
      </c>
    </row>
    <row r="1172" spans="1:2" x14ac:dyDescent="0.3">
      <c r="A1172" s="22">
        <v>-1.7749999999999999E-6</v>
      </c>
      <c r="B1172" s="22">
        <v>3.1410803669000002E-2</v>
      </c>
    </row>
    <row r="1173" spans="1:2" x14ac:dyDescent="0.3">
      <c r="A1173" s="22">
        <v>-1.77E-6</v>
      </c>
      <c r="B1173" s="22">
        <v>2.8998743394E-2</v>
      </c>
    </row>
    <row r="1174" spans="1:2" x14ac:dyDescent="0.3">
      <c r="A1174" s="22">
        <v>-1.765E-6</v>
      </c>
      <c r="B1174" s="22">
        <v>2.8194723301000001E-2</v>
      </c>
    </row>
    <row r="1175" spans="1:2" x14ac:dyDescent="0.3">
      <c r="A1175" s="22">
        <v>-1.7600000000000001E-6</v>
      </c>
      <c r="B1175" s="22">
        <v>3.1410803669000002E-2</v>
      </c>
    </row>
    <row r="1176" spans="1:2" x14ac:dyDescent="0.3">
      <c r="A1176" s="22">
        <v>-1.7549999999999999E-6</v>
      </c>
      <c r="B1176" s="22">
        <v>2.9802763486E-2</v>
      </c>
    </row>
    <row r="1177" spans="1:2" x14ac:dyDescent="0.3">
      <c r="A1177" s="22">
        <v>-1.75E-6</v>
      </c>
      <c r="B1177" s="22">
        <v>3.1410803669000002E-2</v>
      </c>
    </row>
    <row r="1178" spans="1:2" x14ac:dyDescent="0.3">
      <c r="A1178" s="22">
        <v>-1.745E-6</v>
      </c>
      <c r="B1178" s="22">
        <v>2.9802763485000001E-2</v>
      </c>
    </row>
    <row r="1179" spans="1:2" x14ac:dyDescent="0.3">
      <c r="A1179" s="22">
        <v>-1.7400000000000001E-6</v>
      </c>
      <c r="B1179" s="22">
        <v>3.3018843853000003E-2</v>
      </c>
    </row>
    <row r="1180" spans="1:2" x14ac:dyDescent="0.3">
      <c r="A1180" s="22">
        <v>-1.7349999999999999E-6</v>
      </c>
      <c r="B1180" s="22">
        <v>2.9802763485000001E-2</v>
      </c>
    </row>
    <row r="1181" spans="1:2" x14ac:dyDescent="0.3">
      <c r="A1181" s="22">
        <v>-1.73E-6</v>
      </c>
      <c r="B1181" s="22">
        <v>2.8998743393000001E-2</v>
      </c>
    </row>
    <row r="1182" spans="1:2" x14ac:dyDescent="0.3">
      <c r="A1182" s="22">
        <v>-1.725E-6</v>
      </c>
      <c r="B1182" s="22">
        <v>3.1410803669000002E-2</v>
      </c>
    </row>
    <row r="1183" spans="1:2" x14ac:dyDescent="0.3">
      <c r="A1183" s="22">
        <v>-1.72E-6</v>
      </c>
      <c r="B1183" s="22">
        <v>2.8998743393000001E-2</v>
      </c>
    </row>
    <row r="1184" spans="1:2" x14ac:dyDescent="0.3">
      <c r="A1184" s="22">
        <v>-1.7150000000000001E-6</v>
      </c>
      <c r="B1184" s="22">
        <v>3.1410803669000002E-2</v>
      </c>
    </row>
    <row r="1185" spans="1:2" x14ac:dyDescent="0.3">
      <c r="A1185" s="22">
        <v>-1.7099999999999999E-6</v>
      </c>
      <c r="B1185" s="22">
        <v>3.2214823761000003E-2</v>
      </c>
    </row>
    <row r="1186" spans="1:2" x14ac:dyDescent="0.3">
      <c r="A1186" s="22">
        <v>-1.705E-6</v>
      </c>
      <c r="B1186" s="22">
        <v>2.9802763485000001E-2</v>
      </c>
    </row>
    <row r="1187" spans="1:2" x14ac:dyDescent="0.3">
      <c r="A1187" s="22">
        <v>-1.7E-6</v>
      </c>
      <c r="B1187" s="22">
        <v>2.9802763485000001E-2</v>
      </c>
    </row>
    <row r="1188" spans="1:2" x14ac:dyDescent="0.3">
      <c r="A1188" s="22">
        <v>-1.6950000000000001E-6</v>
      </c>
      <c r="B1188" s="22">
        <v>2.9802763485000001E-2</v>
      </c>
    </row>
    <row r="1189" spans="1:2" x14ac:dyDescent="0.3">
      <c r="A1189" s="22">
        <v>-1.6899999999999999E-6</v>
      </c>
      <c r="B1189" s="22">
        <v>2.8194723301999999E-2</v>
      </c>
    </row>
    <row r="1190" spans="1:2" x14ac:dyDescent="0.3">
      <c r="A1190" s="22">
        <v>-1.685E-6</v>
      </c>
      <c r="B1190" s="22">
        <v>3.0606783576999998E-2</v>
      </c>
    </row>
    <row r="1191" spans="1:2" x14ac:dyDescent="0.3">
      <c r="A1191" s="22">
        <v>-1.68E-6</v>
      </c>
      <c r="B1191" s="22">
        <v>2.8194723301000001E-2</v>
      </c>
    </row>
    <row r="1192" spans="1:2" x14ac:dyDescent="0.3">
      <c r="A1192" s="22">
        <v>-1.6750000000000001E-6</v>
      </c>
      <c r="B1192" s="22">
        <v>2.8998743393000001E-2</v>
      </c>
    </row>
    <row r="1193" spans="1:2" x14ac:dyDescent="0.3">
      <c r="A1193" s="22">
        <v>-1.6700000000000001E-6</v>
      </c>
      <c r="B1193" s="22">
        <v>2.8998743394E-2</v>
      </c>
    </row>
    <row r="1194" spans="1:2" x14ac:dyDescent="0.3">
      <c r="A1194" s="22">
        <v>-1.6649999999999999E-6</v>
      </c>
      <c r="B1194" s="22">
        <v>2.9802763485000001E-2</v>
      </c>
    </row>
    <row r="1195" spans="1:2" x14ac:dyDescent="0.3">
      <c r="A1195" s="22">
        <v>-1.66E-6</v>
      </c>
      <c r="B1195" s="22">
        <v>3.1410803669000002E-2</v>
      </c>
    </row>
    <row r="1196" spans="1:2" x14ac:dyDescent="0.3">
      <c r="A1196" s="22">
        <v>-1.655E-6</v>
      </c>
      <c r="B1196" s="22">
        <v>2.8998743393000001E-2</v>
      </c>
    </row>
    <row r="1197" spans="1:2" x14ac:dyDescent="0.3">
      <c r="A1197" s="22">
        <v>-1.6500000000000001E-6</v>
      </c>
      <c r="B1197" s="22">
        <v>2.6586683117999999E-2</v>
      </c>
    </row>
    <row r="1198" spans="1:2" x14ac:dyDescent="0.3">
      <c r="A1198" s="22">
        <v>-1.6449999999999999E-6</v>
      </c>
      <c r="B1198" s="22">
        <v>2.7390703209999999E-2</v>
      </c>
    </row>
    <row r="1199" spans="1:2" x14ac:dyDescent="0.3">
      <c r="A1199" s="22">
        <v>-1.64E-6</v>
      </c>
      <c r="B1199" s="22">
        <v>3.2214823761000003E-2</v>
      </c>
    </row>
    <row r="1200" spans="1:2" x14ac:dyDescent="0.3">
      <c r="A1200" s="22">
        <v>-1.635E-6</v>
      </c>
      <c r="B1200" s="22">
        <v>2.9802763485000001E-2</v>
      </c>
    </row>
    <row r="1201" spans="1:2" x14ac:dyDescent="0.3">
      <c r="A1201" s="22">
        <v>-1.6300000000000001E-6</v>
      </c>
      <c r="B1201" s="22">
        <v>3.0606783576999998E-2</v>
      </c>
    </row>
    <row r="1202" spans="1:2" x14ac:dyDescent="0.3">
      <c r="A1202" s="22">
        <v>-1.6249999999999999E-6</v>
      </c>
      <c r="B1202" s="22">
        <v>2.9802763485000001E-2</v>
      </c>
    </row>
    <row r="1203" spans="1:2" x14ac:dyDescent="0.3">
      <c r="A1203" s="22">
        <v>-1.6199999999999999E-6</v>
      </c>
      <c r="B1203" s="22">
        <v>2.8194723301999999E-2</v>
      </c>
    </row>
    <row r="1204" spans="1:2" x14ac:dyDescent="0.3">
      <c r="A1204" s="22">
        <v>-1.615E-6</v>
      </c>
      <c r="B1204" s="22">
        <v>3.1410803669000002E-2</v>
      </c>
    </row>
    <row r="1205" spans="1:2" x14ac:dyDescent="0.3">
      <c r="A1205" s="22">
        <v>-1.61E-6</v>
      </c>
      <c r="B1205" s="22">
        <v>2.8998743393000001E-2</v>
      </c>
    </row>
    <row r="1206" spans="1:2" x14ac:dyDescent="0.3">
      <c r="A1206" s="22">
        <v>-1.6050000000000001E-6</v>
      </c>
      <c r="B1206" s="22">
        <v>3.0606783576999998E-2</v>
      </c>
    </row>
    <row r="1207" spans="1:2" x14ac:dyDescent="0.3">
      <c r="A1207" s="22">
        <v>-1.5999999999999999E-6</v>
      </c>
      <c r="B1207" s="22">
        <v>3.1410803669000002E-2</v>
      </c>
    </row>
    <row r="1208" spans="1:2" x14ac:dyDescent="0.3">
      <c r="A1208" s="22">
        <v>-1.595E-6</v>
      </c>
      <c r="B1208" s="22">
        <v>3.2214823761000003E-2</v>
      </c>
    </row>
    <row r="1209" spans="1:2" x14ac:dyDescent="0.3">
      <c r="A1209" s="22">
        <v>-1.59E-6</v>
      </c>
      <c r="B1209" s="22">
        <v>2.8194723301999999E-2</v>
      </c>
    </row>
    <row r="1210" spans="1:2" x14ac:dyDescent="0.3">
      <c r="A1210" s="22">
        <v>-1.5850000000000001E-6</v>
      </c>
      <c r="B1210" s="22">
        <v>3.2214823761000003E-2</v>
      </c>
    </row>
    <row r="1211" spans="1:2" x14ac:dyDescent="0.3">
      <c r="A1211" s="22">
        <v>-1.5799999999999999E-6</v>
      </c>
      <c r="B1211" s="22">
        <v>3.2214823761000003E-2</v>
      </c>
    </row>
    <row r="1212" spans="1:2" x14ac:dyDescent="0.3">
      <c r="A1212" s="22">
        <v>-1.575E-6</v>
      </c>
      <c r="B1212" s="22">
        <v>2.8998743394E-2</v>
      </c>
    </row>
    <row r="1213" spans="1:2" x14ac:dyDescent="0.3">
      <c r="A1213" s="22">
        <v>-1.57E-6</v>
      </c>
      <c r="B1213" s="22">
        <v>3.1410803669000002E-2</v>
      </c>
    </row>
    <row r="1214" spans="1:2" x14ac:dyDescent="0.3">
      <c r="A1214" s="22">
        <v>-1.5650000000000001E-6</v>
      </c>
      <c r="B1214" s="22">
        <v>2.5782663026000002E-2</v>
      </c>
    </row>
    <row r="1215" spans="1:2" x14ac:dyDescent="0.3">
      <c r="A1215" s="22">
        <v>-1.5600000000000001E-6</v>
      </c>
      <c r="B1215" s="22">
        <v>3.0606783576999998E-2</v>
      </c>
    </row>
    <row r="1216" spans="1:2" x14ac:dyDescent="0.3">
      <c r="A1216" s="22">
        <v>-1.5549999999999999E-6</v>
      </c>
      <c r="B1216" s="22">
        <v>3.2214823761000003E-2</v>
      </c>
    </row>
    <row r="1217" spans="1:2" x14ac:dyDescent="0.3">
      <c r="A1217" s="22">
        <v>-1.55E-6</v>
      </c>
      <c r="B1217" s="22">
        <v>2.8998743394E-2</v>
      </c>
    </row>
    <row r="1218" spans="1:2" x14ac:dyDescent="0.3">
      <c r="A1218" s="22">
        <v>-1.545E-6</v>
      </c>
      <c r="B1218" s="22">
        <v>3.1410803669000002E-2</v>
      </c>
    </row>
    <row r="1219" spans="1:2" x14ac:dyDescent="0.3">
      <c r="A1219" s="22">
        <v>-1.5400000000000001E-6</v>
      </c>
      <c r="B1219" s="22">
        <v>3.1410803669000002E-2</v>
      </c>
    </row>
    <row r="1220" spans="1:2" x14ac:dyDescent="0.3">
      <c r="A1220" s="22">
        <v>-1.5349999999999999E-6</v>
      </c>
      <c r="B1220" s="22">
        <v>3.1410803669000002E-2</v>
      </c>
    </row>
    <row r="1221" spans="1:2" x14ac:dyDescent="0.3">
      <c r="A1221" s="22">
        <v>-1.53E-6</v>
      </c>
      <c r="B1221" s="22">
        <v>2.9802763485000001E-2</v>
      </c>
    </row>
    <row r="1222" spans="1:2" x14ac:dyDescent="0.3">
      <c r="A1222" s="22">
        <v>-1.525E-6</v>
      </c>
      <c r="B1222" s="22">
        <v>3.2214823761000003E-2</v>
      </c>
    </row>
    <row r="1223" spans="1:2" x14ac:dyDescent="0.3">
      <c r="A1223" s="22">
        <v>-1.5200000000000001E-6</v>
      </c>
      <c r="B1223" s="22">
        <v>3.0606783576999998E-2</v>
      </c>
    </row>
    <row r="1224" spans="1:2" x14ac:dyDescent="0.3">
      <c r="A1224" s="22">
        <v>-1.5149999999999999E-6</v>
      </c>
      <c r="B1224" s="22">
        <v>2.8998743394E-2</v>
      </c>
    </row>
    <row r="1225" spans="1:2" x14ac:dyDescent="0.3">
      <c r="A1225" s="22">
        <v>-1.5099999999999999E-6</v>
      </c>
      <c r="B1225" s="22">
        <v>2.7390703209999999E-2</v>
      </c>
    </row>
    <row r="1226" spans="1:2" x14ac:dyDescent="0.3">
      <c r="A1226" s="22">
        <v>-1.505E-6</v>
      </c>
      <c r="B1226" s="22">
        <v>2.8194723301999999E-2</v>
      </c>
    </row>
    <row r="1227" spans="1:2" x14ac:dyDescent="0.3">
      <c r="A1227" s="22">
        <v>-1.5E-6</v>
      </c>
      <c r="B1227" s="22">
        <v>3.0606783576999998E-2</v>
      </c>
    </row>
    <row r="1228" spans="1:2" x14ac:dyDescent="0.3">
      <c r="A1228" s="22">
        <v>-1.4950000000000001E-6</v>
      </c>
      <c r="B1228" s="22">
        <v>2.6586683117999999E-2</v>
      </c>
    </row>
    <row r="1229" spans="1:2" x14ac:dyDescent="0.3">
      <c r="A1229" s="22">
        <v>-1.4899999999999999E-6</v>
      </c>
      <c r="B1229" s="22">
        <v>3.0606783576999998E-2</v>
      </c>
    </row>
    <row r="1230" spans="1:2" x14ac:dyDescent="0.3">
      <c r="A1230" s="22">
        <v>-1.485E-6</v>
      </c>
      <c r="B1230" s="22">
        <v>2.9802763485000001E-2</v>
      </c>
    </row>
    <row r="1231" spans="1:2" x14ac:dyDescent="0.3">
      <c r="A1231" s="22">
        <v>-1.48E-6</v>
      </c>
      <c r="B1231" s="22">
        <v>2.6586683117999999E-2</v>
      </c>
    </row>
    <row r="1232" spans="1:2" x14ac:dyDescent="0.3">
      <c r="A1232" s="22">
        <v>-1.4750000000000001E-6</v>
      </c>
      <c r="B1232" s="22">
        <v>2.7390703209999999E-2</v>
      </c>
    </row>
    <row r="1233" spans="1:2" x14ac:dyDescent="0.3">
      <c r="A1233" s="22">
        <v>-1.4699999999999999E-6</v>
      </c>
      <c r="B1233" s="22">
        <v>2.8194723301999999E-2</v>
      </c>
    </row>
    <row r="1234" spans="1:2" x14ac:dyDescent="0.3">
      <c r="A1234" s="22">
        <v>-1.4649999999999999E-6</v>
      </c>
      <c r="B1234" s="22">
        <v>3.0606783576999998E-2</v>
      </c>
    </row>
    <row r="1235" spans="1:2" x14ac:dyDescent="0.3">
      <c r="A1235" s="22">
        <v>-1.46E-6</v>
      </c>
      <c r="B1235" s="22">
        <v>2.8194723301999999E-2</v>
      </c>
    </row>
    <row r="1236" spans="1:2" x14ac:dyDescent="0.3">
      <c r="A1236" s="22">
        <v>-1.455E-6</v>
      </c>
      <c r="B1236" s="22">
        <v>2.9802763485000001E-2</v>
      </c>
    </row>
    <row r="1237" spans="1:2" x14ac:dyDescent="0.3">
      <c r="A1237" s="22">
        <v>-1.4500000000000001E-6</v>
      </c>
      <c r="B1237" s="22">
        <v>2.8194723301000001E-2</v>
      </c>
    </row>
    <row r="1238" spans="1:2" x14ac:dyDescent="0.3">
      <c r="A1238" s="22">
        <v>-1.4449999999999999E-6</v>
      </c>
      <c r="B1238" s="22">
        <v>2.8998743394E-2</v>
      </c>
    </row>
    <row r="1239" spans="1:2" x14ac:dyDescent="0.3">
      <c r="A1239" s="22">
        <v>-1.44E-6</v>
      </c>
      <c r="B1239" s="22">
        <v>2.7390703209999999E-2</v>
      </c>
    </row>
    <row r="1240" spans="1:2" x14ac:dyDescent="0.3">
      <c r="A1240" s="22">
        <v>-1.435E-6</v>
      </c>
      <c r="B1240" s="22">
        <v>2.8194723301999999E-2</v>
      </c>
    </row>
    <row r="1241" spans="1:2" x14ac:dyDescent="0.3">
      <c r="A1241" s="22">
        <v>-1.4300000000000001E-6</v>
      </c>
      <c r="B1241" s="22">
        <v>2.7390703209999999E-2</v>
      </c>
    </row>
    <row r="1242" spans="1:2" x14ac:dyDescent="0.3">
      <c r="A1242" s="22">
        <v>-1.4249999999999999E-6</v>
      </c>
      <c r="B1242" s="22">
        <v>2.9802763485000001E-2</v>
      </c>
    </row>
    <row r="1243" spans="1:2" x14ac:dyDescent="0.3">
      <c r="A1243" s="22">
        <v>-1.42E-6</v>
      </c>
      <c r="B1243" s="22">
        <v>3.3018843853000003E-2</v>
      </c>
    </row>
    <row r="1244" spans="1:2" x14ac:dyDescent="0.3">
      <c r="A1244" s="22">
        <v>-1.415E-6</v>
      </c>
      <c r="B1244" s="22">
        <v>2.8998743393000001E-2</v>
      </c>
    </row>
    <row r="1245" spans="1:2" x14ac:dyDescent="0.3">
      <c r="A1245" s="22">
        <v>-1.4100000000000001E-6</v>
      </c>
      <c r="B1245" s="22">
        <v>3.1410803669000002E-2</v>
      </c>
    </row>
    <row r="1246" spans="1:2" x14ac:dyDescent="0.3">
      <c r="A1246" s="22">
        <v>-1.4050000000000001E-6</v>
      </c>
      <c r="B1246" s="22">
        <v>2.6586683117999999E-2</v>
      </c>
    </row>
    <row r="1247" spans="1:2" x14ac:dyDescent="0.3">
      <c r="A1247" s="22">
        <v>-1.3999999999999999E-6</v>
      </c>
      <c r="B1247" s="22">
        <v>3.0606783576999998E-2</v>
      </c>
    </row>
    <row r="1248" spans="1:2" x14ac:dyDescent="0.3">
      <c r="A1248" s="22">
        <v>-1.395E-6</v>
      </c>
      <c r="B1248" s="22">
        <v>3.2214823761000003E-2</v>
      </c>
    </row>
    <row r="1249" spans="1:2" x14ac:dyDescent="0.3">
      <c r="A1249" s="22">
        <v>-1.39E-6</v>
      </c>
      <c r="B1249" s="22">
        <v>2.8998743393000001E-2</v>
      </c>
    </row>
    <row r="1250" spans="1:2" x14ac:dyDescent="0.3">
      <c r="A1250" s="22">
        <v>-1.3850000000000001E-6</v>
      </c>
      <c r="B1250" s="22">
        <v>3.0606783576999998E-2</v>
      </c>
    </row>
    <row r="1251" spans="1:2" x14ac:dyDescent="0.3">
      <c r="A1251" s="22">
        <v>-1.3799999999999999E-6</v>
      </c>
      <c r="B1251" s="22">
        <v>2.8998743394E-2</v>
      </c>
    </row>
    <row r="1252" spans="1:2" x14ac:dyDescent="0.3">
      <c r="A1252" s="22">
        <v>-1.375E-6</v>
      </c>
      <c r="B1252" s="22">
        <v>3.0606783576999998E-2</v>
      </c>
    </row>
    <row r="1253" spans="1:2" x14ac:dyDescent="0.3">
      <c r="A1253" s="22">
        <v>-1.37E-6</v>
      </c>
      <c r="B1253" s="22">
        <v>3.3018843853000003E-2</v>
      </c>
    </row>
    <row r="1254" spans="1:2" x14ac:dyDescent="0.3">
      <c r="A1254" s="22">
        <v>-1.3650000000000001E-6</v>
      </c>
      <c r="B1254" s="22">
        <v>3.3822863944999997E-2</v>
      </c>
    </row>
    <row r="1255" spans="1:2" x14ac:dyDescent="0.3">
      <c r="A1255" s="22">
        <v>-1.3599999999999999E-6</v>
      </c>
      <c r="B1255" s="22">
        <v>3.0606783576999998E-2</v>
      </c>
    </row>
    <row r="1256" spans="1:2" x14ac:dyDescent="0.3">
      <c r="A1256" s="22">
        <v>-1.3549999999999999E-6</v>
      </c>
      <c r="B1256" s="22">
        <v>3.2214823761000003E-2</v>
      </c>
    </row>
    <row r="1257" spans="1:2" x14ac:dyDescent="0.3">
      <c r="A1257" s="22">
        <v>-1.35E-6</v>
      </c>
      <c r="B1257" s="22">
        <v>3.1410803669000002E-2</v>
      </c>
    </row>
    <row r="1258" spans="1:2" x14ac:dyDescent="0.3">
      <c r="A1258" s="22">
        <v>-1.345E-6</v>
      </c>
      <c r="B1258" s="22">
        <v>2.8194723301999999E-2</v>
      </c>
    </row>
    <row r="1259" spans="1:2" x14ac:dyDescent="0.3">
      <c r="A1259" s="22">
        <v>-1.3400000000000001E-6</v>
      </c>
      <c r="B1259" s="22">
        <v>2.8194723301999999E-2</v>
      </c>
    </row>
    <row r="1260" spans="1:2" x14ac:dyDescent="0.3">
      <c r="A1260" s="22">
        <v>-1.3349999999999999E-6</v>
      </c>
      <c r="B1260" s="22">
        <v>3.1410803669000002E-2</v>
      </c>
    </row>
    <row r="1261" spans="1:2" x14ac:dyDescent="0.3">
      <c r="A1261" s="22">
        <v>-1.33E-6</v>
      </c>
      <c r="B1261" s="22">
        <v>2.8998743394E-2</v>
      </c>
    </row>
    <row r="1262" spans="1:2" x14ac:dyDescent="0.3">
      <c r="A1262" s="22">
        <v>-1.325E-6</v>
      </c>
      <c r="B1262" s="22">
        <v>3.0606783576999998E-2</v>
      </c>
    </row>
    <row r="1263" spans="1:2" x14ac:dyDescent="0.3">
      <c r="A1263" s="22">
        <v>-1.3200000000000001E-6</v>
      </c>
      <c r="B1263" s="22">
        <v>2.9802763485000001E-2</v>
      </c>
    </row>
    <row r="1264" spans="1:2" x14ac:dyDescent="0.3">
      <c r="A1264" s="22">
        <v>-1.3149999999999999E-6</v>
      </c>
      <c r="B1264" s="22">
        <v>3.0606783576999998E-2</v>
      </c>
    </row>
    <row r="1265" spans="1:2" x14ac:dyDescent="0.3">
      <c r="A1265" s="22">
        <v>-1.31E-6</v>
      </c>
      <c r="B1265" s="22">
        <v>2.8998743394E-2</v>
      </c>
    </row>
    <row r="1266" spans="1:2" x14ac:dyDescent="0.3">
      <c r="A1266" s="22">
        <v>-1.305E-6</v>
      </c>
      <c r="B1266" s="22">
        <v>3.2214823761000003E-2</v>
      </c>
    </row>
    <row r="1267" spans="1:2" x14ac:dyDescent="0.3">
      <c r="A1267" s="22">
        <v>-1.3E-6</v>
      </c>
      <c r="B1267" s="22">
        <v>2.9802763485000001E-2</v>
      </c>
    </row>
    <row r="1268" spans="1:2" x14ac:dyDescent="0.3">
      <c r="A1268" s="22">
        <v>-1.2950000000000001E-6</v>
      </c>
      <c r="B1268" s="22">
        <v>3.1410803669000002E-2</v>
      </c>
    </row>
    <row r="1269" spans="1:2" x14ac:dyDescent="0.3">
      <c r="A1269" s="22">
        <v>-1.2899999999999999E-6</v>
      </c>
      <c r="B1269" s="22">
        <v>3.1410803669000002E-2</v>
      </c>
    </row>
    <row r="1270" spans="1:2" x14ac:dyDescent="0.3">
      <c r="A1270" s="22">
        <v>-1.285E-6</v>
      </c>
      <c r="B1270" s="22">
        <v>3.0606783576999998E-2</v>
      </c>
    </row>
    <row r="1271" spans="1:2" x14ac:dyDescent="0.3">
      <c r="A1271" s="22">
        <v>-1.28E-6</v>
      </c>
      <c r="B1271" s="22">
        <v>3.5430904127999999E-2</v>
      </c>
    </row>
    <row r="1272" spans="1:2" x14ac:dyDescent="0.3">
      <c r="A1272" s="22">
        <v>-1.2750000000000001E-6</v>
      </c>
      <c r="B1272" s="22">
        <v>3.2214823761000003E-2</v>
      </c>
    </row>
    <row r="1273" spans="1:2" x14ac:dyDescent="0.3">
      <c r="A1273" s="22">
        <v>-1.2699999999999999E-6</v>
      </c>
      <c r="B1273" s="22">
        <v>3.2214823761000003E-2</v>
      </c>
    </row>
    <row r="1274" spans="1:2" x14ac:dyDescent="0.3">
      <c r="A1274" s="22">
        <v>-1.265E-6</v>
      </c>
      <c r="B1274" s="22">
        <v>3.2214823761000003E-2</v>
      </c>
    </row>
    <row r="1275" spans="1:2" x14ac:dyDescent="0.3">
      <c r="A1275" s="22">
        <v>-1.26E-6</v>
      </c>
      <c r="B1275" s="22">
        <v>3.1410803669000002E-2</v>
      </c>
    </row>
    <row r="1276" spans="1:2" x14ac:dyDescent="0.3">
      <c r="A1276" s="22">
        <v>-1.2550000000000001E-6</v>
      </c>
      <c r="B1276" s="22">
        <v>2.7390703209999999E-2</v>
      </c>
    </row>
    <row r="1277" spans="1:2" x14ac:dyDescent="0.3">
      <c r="A1277" s="22">
        <v>-1.2500000000000001E-6</v>
      </c>
      <c r="B1277" s="22">
        <v>2.8194723301999999E-2</v>
      </c>
    </row>
    <row r="1278" spans="1:2" x14ac:dyDescent="0.3">
      <c r="A1278" s="22">
        <v>-1.2449999999999999E-6</v>
      </c>
      <c r="B1278" s="22">
        <v>2.8998743394E-2</v>
      </c>
    </row>
    <row r="1279" spans="1:2" x14ac:dyDescent="0.3">
      <c r="A1279" s="22">
        <v>-1.24E-6</v>
      </c>
      <c r="B1279" s="22">
        <v>2.8998743393000001E-2</v>
      </c>
    </row>
    <row r="1280" spans="1:2" x14ac:dyDescent="0.3">
      <c r="A1280" s="22">
        <v>-1.235E-6</v>
      </c>
      <c r="B1280" s="22">
        <v>3.1410803669000002E-2</v>
      </c>
    </row>
    <row r="1281" spans="1:2" x14ac:dyDescent="0.3">
      <c r="A1281" s="22">
        <v>-1.2300000000000001E-6</v>
      </c>
      <c r="B1281" s="22">
        <v>2.9802763485000001E-2</v>
      </c>
    </row>
    <row r="1282" spans="1:2" x14ac:dyDescent="0.3">
      <c r="A1282" s="22">
        <v>-1.2249999999999999E-6</v>
      </c>
      <c r="B1282" s="22">
        <v>2.6586683117999999E-2</v>
      </c>
    </row>
    <row r="1283" spans="1:2" x14ac:dyDescent="0.3">
      <c r="A1283" s="22">
        <v>-1.22E-6</v>
      </c>
      <c r="B1283" s="22">
        <v>2.9802763485000001E-2</v>
      </c>
    </row>
    <row r="1284" spans="1:2" x14ac:dyDescent="0.3">
      <c r="A1284" s="22">
        <v>-1.215E-6</v>
      </c>
      <c r="B1284" s="22">
        <v>3.0606783576999998E-2</v>
      </c>
    </row>
    <row r="1285" spans="1:2" x14ac:dyDescent="0.3">
      <c r="A1285" s="22">
        <v>-1.2100000000000001E-6</v>
      </c>
      <c r="B1285" s="22">
        <v>3.2214823761000003E-2</v>
      </c>
    </row>
    <row r="1286" spans="1:2" x14ac:dyDescent="0.3">
      <c r="A1286" s="22">
        <v>-1.2049999999999999E-6</v>
      </c>
      <c r="B1286" s="22">
        <v>3.2214823761000003E-2</v>
      </c>
    </row>
    <row r="1287" spans="1:2" x14ac:dyDescent="0.3">
      <c r="A1287" s="22">
        <v>-1.1999999999999999E-6</v>
      </c>
      <c r="B1287" s="22">
        <v>3.0606783576999998E-2</v>
      </c>
    </row>
    <row r="1288" spans="1:2" x14ac:dyDescent="0.3">
      <c r="A1288" s="22">
        <v>-1.195E-6</v>
      </c>
      <c r="B1288" s="22">
        <v>2.9802763486E-2</v>
      </c>
    </row>
    <row r="1289" spans="1:2" x14ac:dyDescent="0.3">
      <c r="A1289" s="22">
        <v>-1.19E-6</v>
      </c>
      <c r="B1289" s="22">
        <v>2.8194723301999999E-2</v>
      </c>
    </row>
    <row r="1290" spans="1:2" x14ac:dyDescent="0.3">
      <c r="A1290" s="22">
        <v>-1.1850000000000001E-6</v>
      </c>
      <c r="B1290" s="22">
        <v>3.1410803669000002E-2</v>
      </c>
    </row>
    <row r="1291" spans="1:2" x14ac:dyDescent="0.3">
      <c r="A1291" s="22">
        <v>-1.1799999999999999E-6</v>
      </c>
      <c r="B1291" s="22">
        <v>3.3822863944999997E-2</v>
      </c>
    </row>
    <row r="1292" spans="1:2" x14ac:dyDescent="0.3">
      <c r="A1292" s="22">
        <v>-1.175E-6</v>
      </c>
      <c r="B1292" s="22">
        <v>2.8998743393000001E-2</v>
      </c>
    </row>
    <row r="1293" spans="1:2" x14ac:dyDescent="0.3">
      <c r="A1293" s="22">
        <v>-1.17E-6</v>
      </c>
      <c r="B1293" s="22">
        <v>2.9802763485000001E-2</v>
      </c>
    </row>
    <row r="1294" spans="1:2" x14ac:dyDescent="0.3">
      <c r="A1294" s="22">
        <v>-1.1650000000000001E-6</v>
      </c>
      <c r="B1294" s="22">
        <v>3.2214823761000003E-2</v>
      </c>
    </row>
    <row r="1295" spans="1:2" x14ac:dyDescent="0.3">
      <c r="A1295" s="22">
        <v>-1.1599999999999999E-6</v>
      </c>
      <c r="B1295" s="22">
        <v>2.7390703209999999E-2</v>
      </c>
    </row>
    <row r="1296" spans="1:2" x14ac:dyDescent="0.3">
      <c r="A1296" s="22">
        <v>-1.155E-6</v>
      </c>
      <c r="B1296" s="22">
        <v>2.8194723301999999E-2</v>
      </c>
    </row>
    <row r="1297" spans="1:2" x14ac:dyDescent="0.3">
      <c r="A1297" s="22">
        <v>-1.15E-6</v>
      </c>
      <c r="B1297" s="22">
        <v>3.1410803669000002E-2</v>
      </c>
    </row>
    <row r="1298" spans="1:2" x14ac:dyDescent="0.3">
      <c r="A1298" s="22">
        <v>-1.145E-6</v>
      </c>
      <c r="B1298" s="22">
        <v>3.0606783576999998E-2</v>
      </c>
    </row>
    <row r="1299" spans="1:2" x14ac:dyDescent="0.3">
      <c r="A1299" s="22">
        <v>-1.1400000000000001E-6</v>
      </c>
      <c r="B1299" s="22">
        <v>3.3018843853000003E-2</v>
      </c>
    </row>
    <row r="1300" spans="1:2" x14ac:dyDescent="0.3">
      <c r="A1300" s="22">
        <v>-1.1349999999999999E-6</v>
      </c>
      <c r="B1300" s="22">
        <v>2.7390703209999999E-2</v>
      </c>
    </row>
    <row r="1301" spans="1:2" x14ac:dyDescent="0.3">
      <c r="A1301" s="22">
        <v>-1.13E-6</v>
      </c>
      <c r="B1301" s="22">
        <v>2.9802763485000001E-2</v>
      </c>
    </row>
    <row r="1302" spans="1:2" x14ac:dyDescent="0.3">
      <c r="A1302" s="22">
        <v>-1.125E-6</v>
      </c>
      <c r="B1302" s="22">
        <v>3.2214823761000003E-2</v>
      </c>
    </row>
    <row r="1303" spans="1:2" x14ac:dyDescent="0.3">
      <c r="A1303" s="22">
        <v>-1.1200000000000001E-6</v>
      </c>
      <c r="B1303" s="22">
        <v>3.0606783576999998E-2</v>
      </c>
    </row>
    <row r="1304" spans="1:2" x14ac:dyDescent="0.3">
      <c r="A1304" s="22">
        <v>-1.1149999999999999E-6</v>
      </c>
      <c r="B1304" s="22">
        <v>2.7390703209999999E-2</v>
      </c>
    </row>
    <row r="1305" spans="1:2" x14ac:dyDescent="0.3">
      <c r="A1305" s="22">
        <v>-1.11E-6</v>
      </c>
      <c r="B1305" s="22">
        <v>2.8194723301000001E-2</v>
      </c>
    </row>
    <row r="1306" spans="1:2" x14ac:dyDescent="0.3">
      <c r="A1306" s="22">
        <v>-1.105E-6</v>
      </c>
      <c r="B1306" s="22">
        <v>2.9802763485000001E-2</v>
      </c>
    </row>
    <row r="1307" spans="1:2" x14ac:dyDescent="0.3">
      <c r="A1307" s="22">
        <v>-1.1000000000000001E-6</v>
      </c>
      <c r="B1307" s="22">
        <v>2.9802763485000001E-2</v>
      </c>
    </row>
    <row r="1308" spans="1:2" x14ac:dyDescent="0.3">
      <c r="A1308" s="22">
        <v>-1.0950000000000001E-6</v>
      </c>
      <c r="B1308" s="22">
        <v>2.6586683117999999E-2</v>
      </c>
    </row>
    <row r="1309" spans="1:2" x14ac:dyDescent="0.3">
      <c r="A1309" s="22">
        <v>-1.0899999999999999E-6</v>
      </c>
      <c r="B1309" s="22">
        <v>3.1410803669000002E-2</v>
      </c>
    </row>
    <row r="1310" spans="1:2" x14ac:dyDescent="0.3">
      <c r="A1310" s="22">
        <v>-1.085E-6</v>
      </c>
      <c r="B1310" s="22">
        <v>2.9802763486E-2</v>
      </c>
    </row>
    <row r="1311" spans="1:2" x14ac:dyDescent="0.3">
      <c r="A1311" s="22">
        <v>-1.08E-6</v>
      </c>
      <c r="B1311" s="22">
        <v>2.5782663026000002E-2</v>
      </c>
    </row>
    <row r="1312" spans="1:2" x14ac:dyDescent="0.3">
      <c r="A1312" s="22">
        <v>-1.0750000000000001E-6</v>
      </c>
      <c r="B1312" s="22">
        <v>2.9802763485000001E-2</v>
      </c>
    </row>
    <row r="1313" spans="1:2" x14ac:dyDescent="0.3">
      <c r="A1313" s="22">
        <v>-1.0699999999999999E-6</v>
      </c>
      <c r="B1313" s="22">
        <v>3.1410803669000002E-2</v>
      </c>
    </row>
    <row r="1314" spans="1:2" x14ac:dyDescent="0.3">
      <c r="A1314" s="22">
        <v>-1.065E-6</v>
      </c>
      <c r="B1314" s="22">
        <v>3.2214823761000003E-2</v>
      </c>
    </row>
    <row r="1315" spans="1:2" x14ac:dyDescent="0.3">
      <c r="A1315" s="22">
        <v>-1.06E-6</v>
      </c>
      <c r="B1315" s="22">
        <v>3.0606783576999998E-2</v>
      </c>
    </row>
    <row r="1316" spans="1:2" x14ac:dyDescent="0.3">
      <c r="A1316" s="22">
        <v>-1.0550000000000001E-6</v>
      </c>
      <c r="B1316" s="22">
        <v>2.9802763485000001E-2</v>
      </c>
    </row>
    <row r="1317" spans="1:2" x14ac:dyDescent="0.3">
      <c r="A1317" s="22">
        <v>-1.0499999999999999E-6</v>
      </c>
      <c r="B1317" s="22">
        <v>3.1410803669000002E-2</v>
      </c>
    </row>
    <row r="1318" spans="1:2" x14ac:dyDescent="0.3">
      <c r="A1318" s="22">
        <v>-1.0449999999999999E-6</v>
      </c>
      <c r="B1318" s="22">
        <v>3.2214823761000003E-2</v>
      </c>
    </row>
    <row r="1319" spans="1:2" x14ac:dyDescent="0.3">
      <c r="A1319" s="22">
        <v>-1.04E-6</v>
      </c>
      <c r="B1319" s="22">
        <v>3.0606783576999998E-2</v>
      </c>
    </row>
    <row r="1320" spans="1:2" x14ac:dyDescent="0.3">
      <c r="A1320" s="22">
        <v>-1.035E-6</v>
      </c>
      <c r="B1320" s="22">
        <v>3.1410803669000002E-2</v>
      </c>
    </row>
    <row r="1321" spans="1:2" x14ac:dyDescent="0.3">
      <c r="A1321" s="22">
        <v>-1.0300000000000001E-6</v>
      </c>
      <c r="B1321" s="22">
        <v>3.2214823761000003E-2</v>
      </c>
    </row>
    <row r="1322" spans="1:2" x14ac:dyDescent="0.3">
      <c r="A1322" s="22">
        <v>-1.0249999999999999E-6</v>
      </c>
      <c r="B1322" s="22">
        <v>3.1410803669000002E-2</v>
      </c>
    </row>
    <row r="1323" spans="1:2" x14ac:dyDescent="0.3">
      <c r="A1323" s="22">
        <v>-1.02E-6</v>
      </c>
      <c r="B1323" s="22">
        <v>2.8194723301999999E-2</v>
      </c>
    </row>
    <row r="1324" spans="1:2" x14ac:dyDescent="0.3">
      <c r="A1324" s="22">
        <v>-1.015E-6</v>
      </c>
      <c r="B1324" s="22">
        <v>3.0606783576999998E-2</v>
      </c>
    </row>
    <row r="1325" spans="1:2" x14ac:dyDescent="0.3">
      <c r="A1325" s="22">
        <v>-1.0100000000000001E-6</v>
      </c>
      <c r="B1325" s="22">
        <v>2.8194723301999999E-2</v>
      </c>
    </row>
    <row r="1326" spans="1:2" x14ac:dyDescent="0.3">
      <c r="A1326" s="22">
        <v>-1.0049999999999999E-6</v>
      </c>
      <c r="B1326" s="22">
        <v>3.1410803669000002E-2</v>
      </c>
    </row>
    <row r="1327" spans="1:2" x14ac:dyDescent="0.3">
      <c r="A1327" s="22">
        <v>-9.9999999999999995E-7</v>
      </c>
      <c r="B1327" s="22">
        <v>2.8998743393000001E-2</v>
      </c>
    </row>
    <row r="1328" spans="1:2" x14ac:dyDescent="0.3">
      <c r="A1328" s="22">
        <v>-9.95E-7</v>
      </c>
      <c r="B1328" s="22">
        <v>2.8998743394E-2</v>
      </c>
    </row>
    <row r="1329" spans="1:2" x14ac:dyDescent="0.3">
      <c r="A1329" s="22">
        <v>-9.9000000000000005E-7</v>
      </c>
      <c r="B1329" s="22">
        <v>2.9802763485000001E-2</v>
      </c>
    </row>
    <row r="1330" spans="1:2" x14ac:dyDescent="0.3">
      <c r="A1330" s="22">
        <v>-9.850000000000001E-7</v>
      </c>
      <c r="B1330" s="22">
        <v>2.9802763486E-2</v>
      </c>
    </row>
    <row r="1331" spans="1:2" x14ac:dyDescent="0.3">
      <c r="A1331" s="22">
        <v>-9.7999999999999993E-7</v>
      </c>
      <c r="B1331" s="22">
        <v>2.9802763485000001E-2</v>
      </c>
    </row>
    <row r="1332" spans="1:2" x14ac:dyDescent="0.3">
      <c r="A1332" s="22">
        <v>-9.7499999999999998E-7</v>
      </c>
      <c r="B1332" s="22">
        <v>2.8998743393000001E-2</v>
      </c>
    </row>
    <row r="1333" spans="1:2" x14ac:dyDescent="0.3">
      <c r="A1333" s="22">
        <v>-9.7000000000000003E-7</v>
      </c>
      <c r="B1333" s="22">
        <v>2.9802763485000001E-2</v>
      </c>
    </row>
    <row r="1334" spans="1:2" x14ac:dyDescent="0.3">
      <c r="A1334" s="22">
        <v>-9.6500000000000008E-7</v>
      </c>
      <c r="B1334" s="22">
        <v>2.9802763485000001E-2</v>
      </c>
    </row>
    <row r="1335" spans="1:2" x14ac:dyDescent="0.3">
      <c r="A1335" s="22">
        <v>-9.5999999999999991E-7</v>
      </c>
      <c r="B1335" s="22">
        <v>3.0606783576999998E-2</v>
      </c>
    </row>
    <row r="1336" spans="1:2" x14ac:dyDescent="0.3">
      <c r="A1336" s="22">
        <v>-9.5499999999999996E-7</v>
      </c>
      <c r="B1336" s="22">
        <v>2.9802763485000001E-2</v>
      </c>
    </row>
    <row r="1337" spans="1:2" x14ac:dyDescent="0.3">
      <c r="A1337" s="22">
        <v>-9.5000000000000001E-7</v>
      </c>
      <c r="B1337" s="22">
        <v>2.8194723301999999E-2</v>
      </c>
    </row>
    <row r="1338" spans="1:2" x14ac:dyDescent="0.3">
      <c r="A1338" s="22">
        <v>-9.4499999999999995E-7</v>
      </c>
      <c r="B1338" s="22">
        <v>2.6586683117999999E-2</v>
      </c>
    </row>
    <row r="1339" spans="1:2" x14ac:dyDescent="0.3">
      <c r="A1339" s="22">
        <v>-9.4E-7</v>
      </c>
      <c r="B1339" s="22">
        <v>2.8194723301999999E-2</v>
      </c>
    </row>
    <row r="1340" spans="1:2" x14ac:dyDescent="0.3">
      <c r="A1340" s="22">
        <v>-9.3500000000000005E-7</v>
      </c>
      <c r="B1340" s="22">
        <v>2.8194723301999999E-2</v>
      </c>
    </row>
    <row r="1341" spans="1:2" x14ac:dyDescent="0.3">
      <c r="A1341" s="22">
        <v>-9.2999999999999999E-7</v>
      </c>
      <c r="B1341" s="22">
        <v>2.5782663026000002E-2</v>
      </c>
    </row>
    <row r="1342" spans="1:2" x14ac:dyDescent="0.3">
      <c r="A1342" s="22">
        <v>-9.2500000000000004E-7</v>
      </c>
      <c r="B1342" s="22">
        <v>2.8998743393000001E-2</v>
      </c>
    </row>
    <row r="1343" spans="1:2" x14ac:dyDescent="0.3">
      <c r="A1343" s="22">
        <v>-9.1999999999999998E-7</v>
      </c>
      <c r="B1343" s="22">
        <v>2.7390703209999999E-2</v>
      </c>
    </row>
    <row r="1344" spans="1:2" x14ac:dyDescent="0.3">
      <c r="A1344" s="22">
        <v>-9.1500000000000003E-7</v>
      </c>
      <c r="B1344" s="22">
        <v>3.0606783576999998E-2</v>
      </c>
    </row>
    <row r="1345" spans="1:2" x14ac:dyDescent="0.3">
      <c r="A1345" s="22">
        <v>-9.0999999999999997E-7</v>
      </c>
      <c r="B1345" s="22">
        <v>2.5782663026000002E-2</v>
      </c>
    </row>
    <row r="1346" spans="1:2" x14ac:dyDescent="0.3">
      <c r="A1346" s="22">
        <v>-9.0500000000000002E-7</v>
      </c>
      <c r="B1346" s="22">
        <v>2.9802763485000001E-2</v>
      </c>
    </row>
    <row r="1347" spans="1:2" x14ac:dyDescent="0.3">
      <c r="A1347" s="22">
        <v>-8.9999999999999996E-7</v>
      </c>
      <c r="B1347" s="22">
        <v>2.8194723301999999E-2</v>
      </c>
    </row>
    <row r="1348" spans="1:2" x14ac:dyDescent="0.3">
      <c r="A1348" s="22">
        <v>-8.9500000000000001E-7</v>
      </c>
      <c r="B1348" s="22">
        <v>2.7390703209999999E-2</v>
      </c>
    </row>
    <row r="1349" spans="1:2" x14ac:dyDescent="0.3">
      <c r="A1349" s="22">
        <v>-8.8999999999999995E-7</v>
      </c>
      <c r="B1349" s="22">
        <v>3.1410803669000002E-2</v>
      </c>
    </row>
    <row r="1350" spans="1:2" x14ac:dyDescent="0.3">
      <c r="A1350" s="22">
        <v>-8.85E-7</v>
      </c>
      <c r="B1350" s="22">
        <v>2.6586683117999999E-2</v>
      </c>
    </row>
    <row r="1351" spans="1:2" x14ac:dyDescent="0.3">
      <c r="A1351" s="22">
        <v>-8.8000000000000004E-7</v>
      </c>
      <c r="B1351" s="22">
        <v>2.8998743393000001E-2</v>
      </c>
    </row>
    <row r="1352" spans="1:2" x14ac:dyDescent="0.3">
      <c r="A1352" s="22">
        <v>-8.7499999999999999E-7</v>
      </c>
      <c r="B1352" s="22">
        <v>3.4626884035999998E-2</v>
      </c>
    </row>
    <row r="1353" spans="1:2" x14ac:dyDescent="0.3">
      <c r="A1353" s="22">
        <v>-8.7000000000000003E-7</v>
      </c>
      <c r="B1353" s="22">
        <v>2.9802763485000001E-2</v>
      </c>
    </row>
    <row r="1354" spans="1:2" x14ac:dyDescent="0.3">
      <c r="A1354" s="22">
        <v>-8.6499999999999998E-7</v>
      </c>
      <c r="B1354" s="22">
        <v>2.8194723301999999E-2</v>
      </c>
    </row>
    <row r="1355" spans="1:2" x14ac:dyDescent="0.3">
      <c r="A1355" s="22">
        <v>-8.6000000000000002E-7</v>
      </c>
      <c r="B1355" s="22">
        <v>2.9802763486E-2</v>
      </c>
    </row>
    <row r="1356" spans="1:2" x14ac:dyDescent="0.3">
      <c r="A1356" s="22">
        <v>-8.5499999999999997E-7</v>
      </c>
      <c r="B1356" s="22">
        <v>2.8998743393000001E-2</v>
      </c>
    </row>
    <row r="1357" spans="1:2" x14ac:dyDescent="0.3">
      <c r="A1357" s="22">
        <v>-8.5000000000000001E-7</v>
      </c>
      <c r="B1357" s="22">
        <v>3.0606783576999998E-2</v>
      </c>
    </row>
    <row r="1358" spans="1:2" x14ac:dyDescent="0.3">
      <c r="A1358" s="22">
        <v>-8.4499999999999996E-7</v>
      </c>
      <c r="B1358" s="22">
        <v>3.2214823761000003E-2</v>
      </c>
    </row>
    <row r="1359" spans="1:2" x14ac:dyDescent="0.3">
      <c r="A1359" s="22">
        <v>-8.4E-7</v>
      </c>
      <c r="B1359" s="22">
        <v>2.8998743393000001E-2</v>
      </c>
    </row>
    <row r="1360" spans="1:2" x14ac:dyDescent="0.3">
      <c r="A1360" s="22">
        <v>-8.3500000000000005E-7</v>
      </c>
      <c r="B1360" s="22">
        <v>3.3018843853000003E-2</v>
      </c>
    </row>
    <row r="1361" spans="1:2" x14ac:dyDescent="0.3">
      <c r="A1361" s="22">
        <v>-8.2999999999999999E-7</v>
      </c>
      <c r="B1361" s="22">
        <v>3.1410803669000002E-2</v>
      </c>
    </row>
    <row r="1362" spans="1:2" x14ac:dyDescent="0.3">
      <c r="A1362" s="22">
        <v>-8.2500000000000004E-7</v>
      </c>
      <c r="B1362" s="22">
        <v>2.8194723301999999E-2</v>
      </c>
    </row>
    <row r="1363" spans="1:2" x14ac:dyDescent="0.3">
      <c r="A1363" s="22">
        <v>-8.1999999999999998E-7</v>
      </c>
      <c r="B1363" s="22">
        <v>3.5430904128999997E-2</v>
      </c>
    </row>
    <row r="1364" spans="1:2" x14ac:dyDescent="0.3">
      <c r="A1364" s="22">
        <v>-8.1500000000000003E-7</v>
      </c>
      <c r="B1364" s="22">
        <v>3.1410803669000002E-2</v>
      </c>
    </row>
    <row r="1365" spans="1:2" x14ac:dyDescent="0.3">
      <c r="A1365" s="22">
        <v>-8.0999999999999997E-7</v>
      </c>
      <c r="B1365" s="22">
        <v>3.0606783576999998E-2</v>
      </c>
    </row>
    <row r="1366" spans="1:2" x14ac:dyDescent="0.3">
      <c r="A1366" s="22">
        <v>-8.0500000000000002E-7</v>
      </c>
      <c r="B1366" s="22">
        <v>3.1410803669000002E-2</v>
      </c>
    </row>
    <row r="1367" spans="1:2" x14ac:dyDescent="0.3">
      <c r="A1367" s="22">
        <v>-7.9999999999999996E-7</v>
      </c>
      <c r="B1367" s="22">
        <v>2.8998743394E-2</v>
      </c>
    </row>
    <row r="1368" spans="1:2" x14ac:dyDescent="0.3">
      <c r="A1368" s="22">
        <v>-7.9500000000000001E-7</v>
      </c>
      <c r="B1368" s="22">
        <v>2.7390703209999999E-2</v>
      </c>
    </row>
    <row r="1369" spans="1:2" x14ac:dyDescent="0.3">
      <c r="A1369" s="22">
        <v>-7.8999999999999995E-7</v>
      </c>
      <c r="B1369" s="22">
        <v>2.9802763485000001E-2</v>
      </c>
    </row>
    <row r="1370" spans="1:2" x14ac:dyDescent="0.3">
      <c r="A1370" s="22">
        <v>-7.85E-7</v>
      </c>
      <c r="B1370" s="22">
        <v>3.2214823761000003E-2</v>
      </c>
    </row>
    <row r="1371" spans="1:2" x14ac:dyDescent="0.3">
      <c r="A1371" s="22">
        <v>-7.8000000000000005E-7</v>
      </c>
      <c r="B1371" s="22">
        <v>2.9802763485000001E-2</v>
      </c>
    </row>
    <row r="1372" spans="1:2" x14ac:dyDescent="0.3">
      <c r="A1372" s="22">
        <v>-7.7499999999999999E-7</v>
      </c>
      <c r="B1372" s="22">
        <v>3.1410803669000002E-2</v>
      </c>
    </row>
    <row r="1373" spans="1:2" x14ac:dyDescent="0.3">
      <c r="A1373" s="22">
        <v>-7.7000000000000004E-7</v>
      </c>
      <c r="B1373" s="22">
        <v>2.9802763485000001E-2</v>
      </c>
    </row>
    <row r="1374" spans="1:2" x14ac:dyDescent="0.3">
      <c r="A1374" s="22">
        <v>-7.6499999999999998E-7</v>
      </c>
      <c r="B1374" s="22">
        <v>3.2214823761000003E-2</v>
      </c>
    </row>
    <row r="1375" spans="1:2" x14ac:dyDescent="0.3">
      <c r="A1375" s="22">
        <v>-7.6000000000000003E-7</v>
      </c>
      <c r="B1375" s="22">
        <v>2.8194723301999999E-2</v>
      </c>
    </row>
    <row r="1376" spans="1:2" x14ac:dyDescent="0.3">
      <c r="A1376" s="22">
        <v>-7.5499999999999997E-7</v>
      </c>
      <c r="B1376" s="22">
        <v>3.3822863944999997E-2</v>
      </c>
    </row>
    <row r="1377" spans="1:2" x14ac:dyDescent="0.3">
      <c r="A1377" s="22">
        <v>-7.5000000000000002E-7</v>
      </c>
      <c r="B1377" s="22">
        <v>2.9802763485000001E-2</v>
      </c>
    </row>
    <row r="1378" spans="1:2" x14ac:dyDescent="0.3">
      <c r="A1378" s="22">
        <v>-7.4499999999999996E-7</v>
      </c>
      <c r="B1378" s="22">
        <v>2.9802763485000001E-2</v>
      </c>
    </row>
    <row r="1379" spans="1:2" x14ac:dyDescent="0.3">
      <c r="A1379" s="22">
        <v>-7.4000000000000001E-7</v>
      </c>
      <c r="B1379" s="22">
        <v>3.0606783576999998E-2</v>
      </c>
    </row>
    <row r="1380" spans="1:2" x14ac:dyDescent="0.3">
      <c r="A1380" s="22">
        <v>-7.3499999999999995E-7</v>
      </c>
      <c r="B1380" s="22">
        <v>2.8998743393000001E-2</v>
      </c>
    </row>
    <row r="1381" spans="1:2" x14ac:dyDescent="0.3">
      <c r="A1381" s="22">
        <v>-7.3E-7</v>
      </c>
      <c r="B1381" s="22">
        <v>3.0606783576999998E-2</v>
      </c>
    </row>
    <row r="1382" spans="1:2" x14ac:dyDescent="0.3">
      <c r="A1382" s="22">
        <v>-7.2500000000000005E-7</v>
      </c>
      <c r="B1382" s="22">
        <v>2.4978642934000001E-2</v>
      </c>
    </row>
    <row r="1383" spans="1:2" x14ac:dyDescent="0.3">
      <c r="A1383" s="22">
        <v>-7.1999999999999999E-7</v>
      </c>
      <c r="B1383" s="22">
        <v>2.9802763485000001E-2</v>
      </c>
    </row>
    <row r="1384" spans="1:2" x14ac:dyDescent="0.3">
      <c r="A1384" s="22">
        <v>-7.1500000000000004E-7</v>
      </c>
      <c r="B1384" s="22">
        <v>2.7390703209999999E-2</v>
      </c>
    </row>
    <row r="1385" spans="1:2" x14ac:dyDescent="0.3">
      <c r="A1385" s="22">
        <v>-7.0999999999999998E-7</v>
      </c>
      <c r="B1385" s="22">
        <v>3.1410803669000002E-2</v>
      </c>
    </row>
    <row r="1386" spans="1:2" x14ac:dyDescent="0.3">
      <c r="A1386" s="22">
        <v>-7.0500000000000003E-7</v>
      </c>
      <c r="B1386" s="22">
        <v>3.1410803669000002E-2</v>
      </c>
    </row>
    <row r="1387" spans="1:2" x14ac:dyDescent="0.3">
      <c r="A1387" s="22">
        <v>-6.9999999999999997E-7</v>
      </c>
      <c r="B1387" s="22">
        <v>2.8998743394E-2</v>
      </c>
    </row>
    <row r="1388" spans="1:2" x14ac:dyDescent="0.3">
      <c r="A1388" s="22">
        <v>-6.9500000000000002E-7</v>
      </c>
      <c r="B1388" s="22">
        <v>3.0606783576999998E-2</v>
      </c>
    </row>
    <row r="1389" spans="1:2" x14ac:dyDescent="0.3">
      <c r="A1389" s="22">
        <v>-6.8999999999999996E-7</v>
      </c>
      <c r="B1389" s="22">
        <v>3.0606783576999998E-2</v>
      </c>
    </row>
    <row r="1390" spans="1:2" x14ac:dyDescent="0.3">
      <c r="A1390" s="22">
        <v>-6.8500000000000001E-7</v>
      </c>
      <c r="B1390" s="22">
        <v>2.8998743394E-2</v>
      </c>
    </row>
    <row r="1391" spans="1:2" x14ac:dyDescent="0.3">
      <c r="A1391" s="22">
        <v>-6.7999999999999995E-7</v>
      </c>
      <c r="B1391" s="22">
        <v>3.0606783576999998E-2</v>
      </c>
    </row>
    <row r="1392" spans="1:2" x14ac:dyDescent="0.3">
      <c r="A1392" s="22">
        <v>-6.75E-7</v>
      </c>
      <c r="B1392" s="22">
        <v>2.9802763485000001E-2</v>
      </c>
    </row>
    <row r="1393" spans="1:2" x14ac:dyDescent="0.3">
      <c r="A1393" s="22">
        <v>-6.7000000000000004E-7</v>
      </c>
      <c r="B1393" s="22">
        <v>2.9802763486E-2</v>
      </c>
    </row>
    <row r="1394" spans="1:2" x14ac:dyDescent="0.3">
      <c r="A1394" s="22">
        <v>-6.6499999999999999E-7</v>
      </c>
      <c r="B1394" s="22">
        <v>2.8998743393000001E-2</v>
      </c>
    </row>
    <row r="1395" spans="1:2" x14ac:dyDescent="0.3">
      <c r="A1395" s="22">
        <v>-6.6000000000000003E-7</v>
      </c>
      <c r="B1395" s="22">
        <v>3.0606783576999998E-2</v>
      </c>
    </row>
    <row r="1396" spans="1:2" x14ac:dyDescent="0.3">
      <c r="A1396" s="22">
        <v>-6.5499999999999998E-7</v>
      </c>
      <c r="B1396" s="22">
        <v>3.0606783576999998E-2</v>
      </c>
    </row>
    <row r="1397" spans="1:2" x14ac:dyDescent="0.3">
      <c r="A1397" s="22">
        <v>-6.5000000000000002E-7</v>
      </c>
      <c r="B1397" s="22">
        <v>3.1410803669000002E-2</v>
      </c>
    </row>
    <row r="1398" spans="1:2" x14ac:dyDescent="0.3">
      <c r="A1398" s="22">
        <v>-6.4499999999999997E-7</v>
      </c>
      <c r="B1398" s="22">
        <v>3.0606783576999998E-2</v>
      </c>
    </row>
    <row r="1399" spans="1:2" x14ac:dyDescent="0.3">
      <c r="A1399" s="22">
        <v>-6.4000000000000001E-7</v>
      </c>
      <c r="B1399" s="22">
        <v>3.3018843853000003E-2</v>
      </c>
    </row>
    <row r="1400" spans="1:2" x14ac:dyDescent="0.3">
      <c r="A1400" s="22">
        <v>-6.3499999999999996E-7</v>
      </c>
      <c r="B1400" s="22">
        <v>3.3018843853000003E-2</v>
      </c>
    </row>
    <row r="1401" spans="1:2" x14ac:dyDescent="0.3">
      <c r="A1401" s="22">
        <v>-6.3E-7</v>
      </c>
      <c r="B1401" s="22">
        <v>3.2214823761000003E-2</v>
      </c>
    </row>
    <row r="1402" spans="1:2" x14ac:dyDescent="0.3">
      <c r="A1402" s="22">
        <v>-6.2500000000000005E-7</v>
      </c>
      <c r="B1402" s="22">
        <v>3.3018843853000003E-2</v>
      </c>
    </row>
    <row r="1403" spans="1:2" x14ac:dyDescent="0.3">
      <c r="A1403" s="22">
        <v>-6.1999999999999999E-7</v>
      </c>
      <c r="B1403" s="22">
        <v>2.9802763485000001E-2</v>
      </c>
    </row>
    <row r="1404" spans="1:2" x14ac:dyDescent="0.3">
      <c r="A1404" s="22">
        <v>-6.1500000000000004E-7</v>
      </c>
      <c r="B1404" s="22">
        <v>3.6234924219999999E-2</v>
      </c>
    </row>
    <row r="1405" spans="1:2" x14ac:dyDescent="0.3">
      <c r="A1405" s="22">
        <v>-6.0999999999999998E-7</v>
      </c>
      <c r="B1405" s="22">
        <v>3.2214823761000003E-2</v>
      </c>
    </row>
    <row r="1406" spans="1:2" x14ac:dyDescent="0.3">
      <c r="A1406" s="22">
        <v>-6.0500000000000003E-7</v>
      </c>
      <c r="B1406" s="22">
        <v>3.3822863944999997E-2</v>
      </c>
    </row>
    <row r="1407" spans="1:2" x14ac:dyDescent="0.3">
      <c r="A1407" s="22">
        <v>-5.9999999999999997E-7</v>
      </c>
      <c r="B1407" s="22">
        <v>3.2214823761000003E-2</v>
      </c>
    </row>
    <row r="1408" spans="1:2" x14ac:dyDescent="0.3">
      <c r="A1408" s="22">
        <v>-5.9500000000000002E-7</v>
      </c>
      <c r="B1408" s="22">
        <v>3.2214823761000003E-2</v>
      </c>
    </row>
    <row r="1409" spans="1:2" x14ac:dyDescent="0.3">
      <c r="A1409" s="22">
        <v>-5.8999999999999996E-7</v>
      </c>
      <c r="B1409" s="22">
        <v>2.9802763485000001E-2</v>
      </c>
    </row>
    <row r="1410" spans="1:2" x14ac:dyDescent="0.3">
      <c r="A1410" s="22">
        <v>-5.8500000000000001E-7</v>
      </c>
      <c r="B1410" s="22">
        <v>3.1410803669000002E-2</v>
      </c>
    </row>
    <row r="1411" spans="1:2" x14ac:dyDescent="0.3">
      <c r="A1411" s="22">
        <v>-5.7999999999999995E-7</v>
      </c>
      <c r="B1411" s="22">
        <v>2.2566582658E-2</v>
      </c>
    </row>
    <row r="1412" spans="1:2" x14ac:dyDescent="0.3">
      <c r="A1412" s="22">
        <v>-5.75E-7</v>
      </c>
      <c r="B1412" s="22">
        <v>3.3018843853000003E-2</v>
      </c>
    </row>
    <row r="1413" spans="1:2" x14ac:dyDescent="0.3">
      <c r="A1413" s="22">
        <v>-5.7000000000000005E-7</v>
      </c>
      <c r="B1413" s="22">
        <v>2.8194723301000001E-2</v>
      </c>
    </row>
    <row r="1414" spans="1:2" x14ac:dyDescent="0.3">
      <c r="A1414" s="22">
        <v>-5.6499999999999999E-7</v>
      </c>
      <c r="B1414" s="22">
        <v>3.0606783576999998E-2</v>
      </c>
    </row>
    <row r="1415" spans="1:2" x14ac:dyDescent="0.3">
      <c r="A1415" s="22">
        <v>-5.6000000000000004E-7</v>
      </c>
      <c r="B1415" s="22">
        <v>2.9802763485000001E-2</v>
      </c>
    </row>
    <row r="1416" spans="1:2" x14ac:dyDescent="0.3">
      <c r="A1416" s="22">
        <v>-5.5499999999999998E-7</v>
      </c>
      <c r="B1416" s="22">
        <v>2.8998743393000001E-2</v>
      </c>
    </row>
    <row r="1417" spans="1:2" x14ac:dyDescent="0.3">
      <c r="A1417" s="22">
        <v>-5.5000000000000003E-7</v>
      </c>
      <c r="B1417" s="22">
        <v>3.0606783576999998E-2</v>
      </c>
    </row>
    <row r="1418" spans="1:2" x14ac:dyDescent="0.3">
      <c r="A1418" s="22">
        <v>-5.4499999999999997E-7</v>
      </c>
      <c r="B1418" s="22">
        <v>2.8194723301999999E-2</v>
      </c>
    </row>
    <row r="1419" spans="1:2" x14ac:dyDescent="0.3">
      <c r="A1419" s="22">
        <v>-5.4000000000000002E-7</v>
      </c>
      <c r="B1419" s="22">
        <v>2.9802763485000001E-2</v>
      </c>
    </row>
    <row r="1420" spans="1:2" x14ac:dyDescent="0.3">
      <c r="A1420" s="22">
        <v>-5.3499999999999996E-7</v>
      </c>
      <c r="B1420" s="22">
        <v>2.5782663026000002E-2</v>
      </c>
    </row>
    <row r="1421" spans="1:2" x14ac:dyDescent="0.3">
      <c r="A1421" s="22">
        <v>-5.3000000000000001E-7</v>
      </c>
      <c r="B1421" s="22">
        <v>2.8194723301000001E-2</v>
      </c>
    </row>
    <row r="1422" spans="1:2" x14ac:dyDescent="0.3">
      <c r="A1422" s="22">
        <v>-5.2499999999999995E-7</v>
      </c>
      <c r="B1422" s="22">
        <v>2.8194723301000001E-2</v>
      </c>
    </row>
    <row r="1423" spans="1:2" x14ac:dyDescent="0.3">
      <c r="A1423" s="22">
        <v>-5.2E-7</v>
      </c>
      <c r="B1423" s="22">
        <v>3.0606783576999998E-2</v>
      </c>
    </row>
    <row r="1424" spans="1:2" x14ac:dyDescent="0.3">
      <c r="A1424" s="22">
        <v>-5.1500000000000005E-7</v>
      </c>
      <c r="B1424" s="22">
        <v>3.3018843853000003E-2</v>
      </c>
    </row>
    <row r="1425" spans="1:2" x14ac:dyDescent="0.3">
      <c r="A1425" s="22">
        <v>-5.0999999999999999E-7</v>
      </c>
      <c r="B1425" s="22">
        <v>2.7390703209999999E-2</v>
      </c>
    </row>
    <row r="1426" spans="1:2" x14ac:dyDescent="0.3">
      <c r="A1426" s="22">
        <v>-5.0500000000000004E-7</v>
      </c>
      <c r="B1426" s="22">
        <v>3.0606783576999998E-2</v>
      </c>
    </row>
    <row r="1427" spans="1:2" x14ac:dyDescent="0.3">
      <c r="A1427" s="22">
        <v>-4.9999999999999998E-7</v>
      </c>
      <c r="B1427" s="22">
        <v>2.9802763485000001E-2</v>
      </c>
    </row>
    <row r="1428" spans="1:2" x14ac:dyDescent="0.3">
      <c r="A1428" s="22">
        <v>-4.9500000000000003E-7</v>
      </c>
      <c r="B1428" s="22">
        <v>2.9802763485000001E-2</v>
      </c>
    </row>
    <row r="1429" spans="1:2" x14ac:dyDescent="0.3">
      <c r="A1429" s="22">
        <v>-4.8999999999999997E-7</v>
      </c>
      <c r="B1429" s="22">
        <v>3.0606783576999998E-2</v>
      </c>
    </row>
    <row r="1430" spans="1:2" x14ac:dyDescent="0.3">
      <c r="A1430" s="22">
        <v>-4.8500000000000002E-7</v>
      </c>
      <c r="B1430" s="22">
        <v>2.9802763485000001E-2</v>
      </c>
    </row>
    <row r="1431" spans="1:2" x14ac:dyDescent="0.3">
      <c r="A1431" s="22">
        <v>-4.7999999999999996E-7</v>
      </c>
      <c r="B1431" s="22">
        <v>3.1410803669000002E-2</v>
      </c>
    </row>
    <row r="1432" spans="1:2" x14ac:dyDescent="0.3">
      <c r="A1432" s="22">
        <v>-4.75E-7</v>
      </c>
      <c r="B1432" s="22">
        <v>2.9802763485000001E-2</v>
      </c>
    </row>
    <row r="1433" spans="1:2" x14ac:dyDescent="0.3">
      <c r="A1433" s="22">
        <v>-4.7E-7</v>
      </c>
      <c r="B1433" s="22">
        <v>2.8998743394E-2</v>
      </c>
    </row>
    <row r="1434" spans="1:2" x14ac:dyDescent="0.3">
      <c r="A1434" s="22">
        <v>-4.6499999999999999E-7</v>
      </c>
      <c r="B1434" s="22">
        <v>3.0606783576999998E-2</v>
      </c>
    </row>
    <row r="1435" spans="1:2" x14ac:dyDescent="0.3">
      <c r="A1435" s="22">
        <v>-4.5999999999999999E-7</v>
      </c>
      <c r="B1435" s="22">
        <v>2.9802763485000001E-2</v>
      </c>
    </row>
    <row r="1436" spans="1:2" x14ac:dyDescent="0.3">
      <c r="A1436" s="22">
        <v>-4.5499999999999998E-7</v>
      </c>
      <c r="B1436" s="22">
        <v>2.8998743393000001E-2</v>
      </c>
    </row>
    <row r="1437" spans="1:2" x14ac:dyDescent="0.3">
      <c r="A1437" s="22">
        <v>-4.4999999999999998E-7</v>
      </c>
      <c r="B1437" s="22">
        <v>2.8998743393000001E-2</v>
      </c>
    </row>
    <row r="1438" spans="1:2" x14ac:dyDescent="0.3">
      <c r="A1438" s="22">
        <v>-4.4499999999999997E-7</v>
      </c>
      <c r="B1438" s="22">
        <v>3.2214823761000003E-2</v>
      </c>
    </row>
    <row r="1439" spans="1:2" x14ac:dyDescent="0.3">
      <c r="A1439" s="22">
        <v>-4.4000000000000002E-7</v>
      </c>
      <c r="B1439" s="22">
        <v>3.0606783576999998E-2</v>
      </c>
    </row>
    <row r="1440" spans="1:2" x14ac:dyDescent="0.3">
      <c r="A1440" s="22">
        <v>-4.3500000000000002E-7</v>
      </c>
      <c r="B1440" s="22">
        <v>3.3822863944999997E-2</v>
      </c>
    </row>
    <row r="1441" spans="1:2" x14ac:dyDescent="0.3">
      <c r="A1441" s="22">
        <v>-4.3000000000000001E-7</v>
      </c>
      <c r="B1441" s="22">
        <v>3.1410803669000002E-2</v>
      </c>
    </row>
    <row r="1442" spans="1:2" x14ac:dyDescent="0.3">
      <c r="A1442" s="22">
        <v>-4.2500000000000001E-7</v>
      </c>
      <c r="B1442" s="22">
        <v>3.0606783576999998E-2</v>
      </c>
    </row>
    <row r="1443" spans="1:2" x14ac:dyDescent="0.3">
      <c r="A1443" s="22">
        <v>-4.2E-7</v>
      </c>
      <c r="B1443" s="22">
        <v>3.0606783576999998E-2</v>
      </c>
    </row>
    <row r="1444" spans="1:2" x14ac:dyDescent="0.3">
      <c r="A1444" s="22">
        <v>-4.15E-7</v>
      </c>
      <c r="B1444" s="22">
        <v>3.2214823761000003E-2</v>
      </c>
    </row>
    <row r="1445" spans="1:2" x14ac:dyDescent="0.3">
      <c r="A1445" s="22">
        <v>-4.0999999999999999E-7</v>
      </c>
      <c r="B1445" s="22">
        <v>2.9802763485000001E-2</v>
      </c>
    </row>
    <row r="1446" spans="1:2" x14ac:dyDescent="0.3">
      <c r="A1446" s="22">
        <v>-4.0499999999999999E-7</v>
      </c>
      <c r="B1446" s="22">
        <v>3.3018843853000003E-2</v>
      </c>
    </row>
    <row r="1447" spans="1:2" x14ac:dyDescent="0.3">
      <c r="A1447" s="22">
        <v>-3.9999999999999998E-7</v>
      </c>
      <c r="B1447" s="22">
        <v>3.0606783576999998E-2</v>
      </c>
    </row>
    <row r="1448" spans="1:2" x14ac:dyDescent="0.3">
      <c r="A1448" s="22">
        <v>-3.9499999999999998E-7</v>
      </c>
      <c r="B1448" s="22">
        <v>2.9802763486E-2</v>
      </c>
    </row>
    <row r="1449" spans="1:2" x14ac:dyDescent="0.3">
      <c r="A1449" s="22">
        <v>-3.9000000000000002E-7</v>
      </c>
      <c r="B1449" s="22">
        <v>2.8998743394E-2</v>
      </c>
    </row>
    <row r="1450" spans="1:2" x14ac:dyDescent="0.3">
      <c r="A1450" s="22">
        <v>-3.8500000000000002E-7</v>
      </c>
      <c r="B1450" s="22">
        <v>3.3018843853000003E-2</v>
      </c>
    </row>
    <row r="1451" spans="1:2" x14ac:dyDescent="0.3">
      <c r="A1451" s="22">
        <v>-3.8000000000000001E-7</v>
      </c>
      <c r="B1451" s="22">
        <v>3.0606783576999998E-2</v>
      </c>
    </row>
    <row r="1452" spans="1:2" x14ac:dyDescent="0.3">
      <c r="A1452" s="22">
        <v>-3.7500000000000001E-7</v>
      </c>
      <c r="B1452" s="22">
        <v>3.2214823761000003E-2</v>
      </c>
    </row>
    <row r="1453" spans="1:2" x14ac:dyDescent="0.3">
      <c r="A1453" s="22">
        <v>-3.7E-7</v>
      </c>
      <c r="B1453" s="22">
        <v>3.0606783576999998E-2</v>
      </c>
    </row>
    <row r="1454" spans="1:2" x14ac:dyDescent="0.3">
      <c r="A1454" s="22">
        <v>-3.65E-7</v>
      </c>
      <c r="B1454" s="22">
        <v>2.8194723301999999E-2</v>
      </c>
    </row>
    <row r="1455" spans="1:2" x14ac:dyDescent="0.3">
      <c r="A1455" s="22">
        <v>-3.5999999999999999E-7</v>
      </c>
      <c r="B1455" s="22">
        <v>2.8998743393000001E-2</v>
      </c>
    </row>
    <row r="1456" spans="1:2" x14ac:dyDescent="0.3">
      <c r="A1456" s="22">
        <v>-3.5499999999999999E-7</v>
      </c>
      <c r="B1456" s="22">
        <v>3.1410803669000002E-2</v>
      </c>
    </row>
    <row r="1457" spans="1:2" x14ac:dyDescent="0.3">
      <c r="A1457" s="22">
        <v>-3.4999999999999998E-7</v>
      </c>
      <c r="B1457" s="22">
        <v>2.8194723301999999E-2</v>
      </c>
    </row>
    <row r="1458" spans="1:2" x14ac:dyDescent="0.3">
      <c r="A1458" s="22">
        <v>-3.4499999999999998E-7</v>
      </c>
      <c r="B1458" s="22">
        <v>3.1410803669000002E-2</v>
      </c>
    </row>
    <row r="1459" spans="1:2" x14ac:dyDescent="0.3">
      <c r="A1459" s="22">
        <v>-3.3999999999999997E-7</v>
      </c>
      <c r="B1459" s="22">
        <v>3.3018843853000003E-2</v>
      </c>
    </row>
    <row r="1460" spans="1:2" x14ac:dyDescent="0.3">
      <c r="A1460" s="22">
        <v>-3.3500000000000002E-7</v>
      </c>
      <c r="B1460" s="22">
        <v>3.0606783576999998E-2</v>
      </c>
    </row>
    <row r="1461" spans="1:2" x14ac:dyDescent="0.3">
      <c r="A1461" s="22">
        <v>-3.3000000000000002E-7</v>
      </c>
      <c r="B1461" s="22">
        <v>2.9802763485000001E-2</v>
      </c>
    </row>
    <row r="1462" spans="1:2" x14ac:dyDescent="0.3">
      <c r="A1462" s="22">
        <v>-3.2500000000000001E-7</v>
      </c>
      <c r="B1462" s="22">
        <v>3.0606783576999998E-2</v>
      </c>
    </row>
    <row r="1463" spans="1:2" x14ac:dyDescent="0.3">
      <c r="A1463" s="22">
        <v>-3.2000000000000001E-7</v>
      </c>
      <c r="B1463" s="22">
        <v>2.8998743393000001E-2</v>
      </c>
    </row>
    <row r="1464" spans="1:2" x14ac:dyDescent="0.3">
      <c r="A1464" s="22">
        <v>-3.15E-7</v>
      </c>
      <c r="B1464" s="22">
        <v>2.9802763485000001E-2</v>
      </c>
    </row>
    <row r="1465" spans="1:2" x14ac:dyDescent="0.3">
      <c r="A1465" s="22">
        <v>-3.1E-7</v>
      </c>
      <c r="B1465" s="22">
        <v>3.1410803669000002E-2</v>
      </c>
    </row>
    <row r="1466" spans="1:2" x14ac:dyDescent="0.3">
      <c r="A1466" s="22">
        <v>-3.0499999999999999E-7</v>
      </c>
      <c r="B1466" s="22">
        <v>2.6586683117999999E-2</v>
      </c>
    </row>
    <row r="1467" spans="1:2" x14ac:dyDescent="0.3">
      <c r="A1467" s="22">
        <v>-2.9999999999999999E-7</v>
      </c>
      <c r="B1467" s="22">
        <v>2.9802763485000001E-2</v>
      </c>
    </row>
    <row r="1468" spans="1:2" x14ac:dyDescent="0.3">
      <c r="A1468" s="22">
        <v>-2.9499999999999998E-7</v>
      </c>
      <c r="B1468" s="22">
        <v>2.9802763485000001E-2</v>
      </c>
    </row>
    <row r="1469" spans="1:2" x14ac:dyDescent="0.3">
      <c r="A1469" s="22">
        <v>-2.8999999999999998E-7</v>
      </c>
      <c r="B1469" s="22">
        <v>3.1410803669000002E-2</v>
      </c>
    </row>
    <row r="1470" spans="1:2" x14ac:dyDescent="0.3">
      <c r="A1470" s="22">
        <v>-2.8500000000000002E-7</v>
      </c>
      <c r="B1470" s="22">
        <v>2.8998743393000001E-2</v>
      </c>
    </row>
    <row r="1471" spans="1:2" x14ac:dyDescent="0.3">
      <c r="A1471" s="22">
        <v>-2.8000000000000002E-7</v>
      </c>
      <c r="B1471" s="22">
        <v>3.2214823761000003E-2</v>
      </c>
    </row>
    <row r="1472" spans="1:2" x14ac:dyDescent="0.3">
      <c r="A1472" s="22">
        <v>-2.7500000000000001E-7</v>
      </c>
      <c r="B1472" s="22">
        <v>2.6586683117999999E-2</v>
      </c>
    </row>
    <row r="1473" spans="1:2" x14ac:dyDescent="0.3">
      <c r="A1473" s="22">
        <v>-2.7000000000000001E-7</v>
      </c>
      <c r="B1473" s="22">
        <v>3.1410803669000002E-2</v>
      </c>
    </row>
    <row r="1474" spans="1:2" x14ac:dyDescent="0.3">
      <c r="A1474" s="22">
        <v>-2.65E-7</v>
      </c>
      <c r="B1474" s="22">
        <v>3.0606783576999998E-2</v>
      </c>
    </row>
    <row r="1475" spans="1:2" x14ac:dyDescent="0.3">
      <c r="A1475" s="22">
        <v>-2.6E-7</v>
      </c>
      <c r="B1475" s="22">
        <v>2.9802763485000001E-2</v>
      </c>
    </row>
    <row r="1476" spans="1:2" x14ac:dyDescent="0.3">
      <c r="A1476" s="22">
        <v>-2.5499999999999999E-7</v>
      </c>
      <c r="B1476" s="22">
        <v>3.2214823761000003E-2</v>
      </c>
    </row>
    <row r="1477" spans="1:2" x14ac:dyDescent="0.3">
      <c r="A1477" s="22">
        <v>-2.4999999999999999E-7</v>
      </c>
      <c r="B1477" s="22">
        <v>3.0606783576999998E-2</v>
      </c>
    </row>
    <row r="1478" spans="1:2" x14ac:dyDescent="0.3">
      <c r="A1478" s="22">
        <v>-2.4499999999999998E-7</v>
      </c>
      <c r="B1478" s="22">
        <v>3.3822863944999997E-2</v>
      </c>
    </row>
    <row r="1479" spans="1:2" x14ac:dyDescent="0.3">
      <c r="A1479" s="22">
        <v>-2.3999999999999998E-7</v>
      </c>
      <c r="B1479" s="22">
        <v>2.8998743393000001E-2</v>
      </c>
    </row>
    <row r="1480" spans="1:2" x14ac:dyDescent="0.3">
      <c r="A1480" s="22">
        <v>-2.35E-7</v>
      </c>
      <c r="B1480" s="22">
        <v>2.9802763485000001E-2</v>
      </c>
    </row>
    <row r="1481" spans="1:2" x14ac:dyDescent="0.3">
      <c r="A1481" s="22">
        <v>-2.2999999999999999E-7</v>
      </c>
      <c r="B1481" s="22">
        <v>2.8998743393000001E-2</v>
      </c>
    </row>
    <row r="1482" spans="1:2" x14ac:dyDescent="0.3">
      <c r="A1482" s="22">
        <v>-2.2499999999999999E-7</v>
      </c>
      <c r="B1482" s="22">
        <v>3.1410803669000002E-2</v>
      </c>
    </row>
    <row r="1483" spans="1:2" x14ac:dyDescent="0.3">
      <c r="A1483" s="22">
        <v>-2.2000000000000001E-7</v>
      </c>
      <c r="B1483" s="22">
        <v>2.7390703209999999E-2</v>
      </c>
    </row>
    <row r="1484" spans="1:2" x14ac:dyDescent="0.3">
      <c r="A1484" s="22">
        <v>-2.1500000000000001E-7</v>
      </c>
      <c r="B1484" s="22">
        <v>2.9802763485000001E-2</v>
      </c>
    </row>
    <row r="1485" spans="1:2" x14ac:dyDescent="0.3">
      <c r="A1485" s="22">
        <v>-2.1E-7</v>
      </c>
      <c r="B1485" s="22">
        <v>2.9802763485000001E-2</v>
      </c>
    </row>
    <row r="1486" spans="1:2" x14ac:dyDescent="0.3">
      <c r="A1486" s="22">
        <v>-2.05E-7</v>
      </c>
      <c r="B1486" s="22">
        <v>3.3018843853000003E-2</v>
      </c>
    </row>
    <row r="1487" spans="1:2" x14ac:dyDescent="0.3">
      <c r="A1487" s="22">
        <v>-1.9999999999999999E-7</v>
      </c>
      <c r="B1487" s="22">
        <v>2.9802763485000001E-2</v>
      </c>
    </row>
    <row r="1488" spans="1:2" x14ac:dyDescent="0.3">
      <c r="A1488" s="22">
        <v>-1.9500000000000001E-7</v>
      </c>
      <c r="B1488" s="22">
        <v>3.1410803669000002E-2</v>
      </c>
    </row>
    <row r="1489" spans="1:2" x14ac:dyDescent="0.3">
      <c r="A1489" s="22">
        <v>-1.9000000000000001E-7</v>
      </c>
      <c r="B1489" s="22">
        <v>2.7390703209999999E-2</v>
      </c>
    </row>
    <row r="1490" spans="1:2" x14ac:dyDescent="0.3">
      <c r="A1490" s="22">
        <v>-1.85E-7</v>
      </c>
      <c r="B1490" s="22">
        <v>3.0606783576999998E-2</v>
      </c>
    </row>
    <row r="1491" spans="1:2" x14ac:dyDescent="0.3">
      <c r="A1491" s="22">
        <v>-1.8E-7</v>
      </c>
      <c r="B1491" s="22">
        <v>2.9802763486E-2</v>
      </c>
    </row>
    <row r="1492" spans="1:2" x14ac:dyDescent="0.3">
      <c r="A1492" s="22">
        <v>-1.7499999999999999E-7</v>
      </c>
      <c r="B1492" s="22">
        <v>3.0606783576999998E-2</v>
      </c>
    </row>
    <row r="1493" spans="1:2" x14ac:dyDescent="0.3">
      <c r="A1493" s="22">
        <v>-1.6999999999999999E-7</v>
      </c>
      <c r="B1493" s="22">
        <v>3.1410803669000002E-2</v>
      </c>
    </row>
    <row r="1494" spans="1:2" x14ac:dyDescent="0.3">
      <c r="A1494" s="22">
        <v>-1.6500000000000001E-7</v>
      </c>
      <c r="B1494" s="22">
        <v>2.9802763486E-2</v>
      </c>
    </row>
    <row r="1495" spans="1:2" x14ac:dyDescent="0.3">
      <c r="A1495" s="22">
        <v>-1.6E-7</v>
      </c>
      <c r="B1495" s="22">
        <v>3.1410803669000002E-2</v>
      </c>
    </row>
    <row r="1496" spans="1:2" x14ac:dyDescent="0.3">
      <c r="A1496" s="22">
        <v>-1.55E-7</v>
      </c>
      <c r="B1496" s="22">
        <v>2.8998743394E-2</v>
      </c>
    </row>
    <row r="1497" spans="1:2" x14ac:dyDescent="0.3">
      <c r="A1497" s="22">
        <v>-1.4999999999999999E-7</v>
      </c>
      <c r="B1497" s="22">
        <v>2.7390703209999999E-2</v>
      </c>
    </row>
    <row r="1498" spans="1:2" x14ac:dyDescent="0.3">
      <c r="A1498" s="22">
        <v>-1.4499999999999999E-7</v>
      </c>
      <c r="B1498" s="22">
        <v>3.2214823761000003E-2</v>
      </c>
    </row>
    <row r="1499" spans="1:2" x14ac:dyDescent="0.3">
      <c r="A1499" s="22">
        <v>-1.4000000000000001E-7</v>
      </c>
      <c r="B1499" s="22">
        <v>3.0606783576999998E-2</v>
      </c>
    </row>
    <row r="1500" spans="1:2" x14ac:dyDescent="0.3">
      <c r="A1500" s="22">
        <v>-1.35E-7</v>
      </c>
      <c r="B1500" s="22">
        <v>2.9802763485000001E-2</v>
      </c>
    </row>
    <row r="1501" spans="1:2" x14ac:dyDescent="0.3">
      <c r="A1501" s="22">
        <v>-1.3E-7</v>
      </c>
      <c r="B1501" s="22">
        <v>2.8194723301000001E-2</v>
      </c>
    </row>
    <row r="1502" spans="1:2" x14ac:dyDescent="0.3">
      <c r="A1502" s="22">
        <v>-1.2499999999999999E-7</v>
      </c>
      <c r="B1502" s="22">
        <v>3.2214823761000003E-2</v>
      </c>
    </row>
    <row r="1503" spans="1:2" x14ac:dyDescent="0.3">
      <c r="A1503" s="22">
        <v>-1.1999999999999999E-7</v>
      </c>
      <c r="B1503" s="22">
        <v>2.8998743393000001E-2</v>
      </c>
    </row>
    <row r="1504" spans="1:2" x14ac:dyDescent="0.3">
      <c r="A1504" s="22">
        <v>-1.15E-7</v>
      </c>
      <c r="B1504" s="22">
        <v>2.8194723301999999E-2</v>
      </c>
    </row>
    <row r="1505" spans="1:2" x14ac:dyDescent="0.3">
      <c r="A1505" s="22">
        <v>-1.1000000000000001E-7</v>
      </c>
      <c r="B1505" s="22">
        <v>2.9802763485000001E-2</v>
      </c>
    </row>
    <row r="1506" spans="1:2" x14ac:dyDescent="0.3">
      <c r="A1506" s="22">
        <v>-1.05E-7</v>
      </c>
      <c r="B1506" s="22">
        <v>2.7390703209999999E-2</v>
      </c>
    </row>
    <row r="1507" spans="1:2" x14ac:dyDescent="0.3">
      <c r="A1507" s="22">
        <v>-9.9999999999999995E-8</v>
      </c>
      <c r="B1507" s="22">
        <v>3.1410803669000002E-2</v>
      </c>
    </row>
    <row r="1508" spans="1:2" x14ac:dyDescent="0.3">
      <c r="A1508" s="22">
        <v>-9.5000000000000004E-8</v>
      </c>
      <c r="B1508" s="22">
        <v>3.0606783576999998E-2</v>
      </c>
    </row>
    <row r="1509" spans="1:2" x14ac:dyDescent="0.3">
      <c r="A1509" s="22">
        <v>-8.9999999999999999E-8</v>
      </c>
      <c r="B1509" s="22">
        <v>3.1410803669000002E-2</v>
      </c>
    </row>
    <row r="1510" spans="1:2" x14ac:dyDescent="0.3">
      <c r="A1510" s="22">
        <v>-8.4999999999999994E-8</v>
      </c>
      <c r="B1510" s="22">
        <v>2.8998743393000001E-2</v>
      </c>
    </row>
    <row r="1511" spans="1:2" x14ac:dyDescent="0.3">
      <c r="A1511" s="22">
        <v>-8.0000000000000002E-8</v>
      </c>
      <c r="B1511" s="22">
        <v>2.8998743393000001E-2</v>
      </c>
    </row>
    <row r="1512" spans="1:2" x14ac:dyDescent="0.3">
      <c r="A1512" s="22">
        <v>-7.4999999999999997E-8</v>
      </c>
      <c r="B1512" s="22">
        <v>2.8998743394E-2</v>
      </c>
    </row>
    <row r="1513" spans="1:2" x14ac:dyDescent="0.3">
      <c r="A1513" s="22">
        <v>-7.0000000000000005E-8</v>
      </c>
      <c r="B1513" s="22">
        <v>2.8998743393000001E-2</v>
      </c>
    </row>
    <row r="1514" spans="1:2" x14ac:dyDescent="0.3">
      <c r="A1514" s="22">
        <v>-6.5E-8</v>
      </c>
      <c r="B1514" s="22">
        <v>2.9802763485000001E-2</v>
      </c>
    </row>
    <row r="1515" spans="1:2" x14ac:dyDescent="0.3">
      <c r="A1515" s="22">
        <v>-5.9999999999999995E-8</v>
      </c>
      <c r="B1515" s="22">
        <v>2.9802763485000001E-2</v>
      </c>
    </row>
    <row r="1516" spans="1:2" x14ac:dyDescent="0.3">
      <c r="A1516" s="22">
        <v>-5.5000000000000003E-8</v>
      </c>
      <c r="B1516" s="22">
        <v>2.6586683117999999E-2</v>
      </c>
    </row>
    <row r="1517" spans="1:2" x14ac:dyDescent="0.3">
      <c r="A1517" s="22">
        <v>-4.9999999999999998E-8</v>
      </c>
      <c r="B1517" s="22">
        <v>3.2214823761000003E-2</v>
      </c>
    </row>
    <row r="1518" spans="1:2" x14ac:dyDescent="0.3">
      <c r="A1518" s="22">
        <v>-4.4999999999999999E-8</v>
      </c>
      <c r="B1518" s="22">
        <v>2.8998743393000001E-2</v>
      </c>
    </row>
    <row r="1519" spans="1:2" x14ac:dyDescent="0.3">
      <c r="A1519" s="22">
        <v>-4.0000000000000001E-8</v>
      </c>
      <c r="B1519" s="22">
        <v>2.7390703209E-2</v>
      </c>
    </row>
    <row r="1520" spans="1:2" x14ac:dyDescent="0.3">
      <c r="A1520" s="22">
        <v>-3.5000000000000002E-8</v>
      </c>
      <c r="B1520" s="22">
        <v>2.8194723301000001E-2</v>
      </c>
    </row>
    <row r="1521" spans="1:4" x14ac:dyDescent="0.3">
      <c r="A1521" s="22">
        <v>-2.9999999999999997E-8</v>
      </c>
      <c r="B1521" s="22">
        <v>2.8998743393000001E-2</v>
      </c>
    </row>
    <row r="1522" spans="1:4" x14ac:dyDescent="0.3">
      <c r="A1522" s="22">
        <v>-2.4999999999999999E-8</v>
      </c>
      <c r="B1522" s="22">
        <v>2.6586683117999999E-2</v>
      </c>
    </row>
    <row r="1523" spans="1:4" x14ac:dyDescent="0.3">
      <c r="A1523" s="22">
        <v>-2E-8</v>
      </c>
      <c r="B1523" s="22">
        <v>2.5782663026000002E-2</v>
      </c>
    </row>
    <row r="1524" spans="1:4" x14ac:dyDescent="0.3">
      <c r="A1524" s="22">
        <v>-1.4999999999999999E-8</v>
      </c>
      <c r="B1524" s="22">
        <v>2.9802763485000001E-2</v>
      </c>
    </row>
    <row r="1525" spans="1:4" x14ac:dyDescent="0.3">
      <c r="A1525" s="22">
        <v>-1E-8</v>
      </c>
      <c r="B1525" s="22">
        <v>2.8194723301999999E-2</v>
      </c>
    </row>
    <row r="1526" spans="1:4" x14ac:dyDescent="0.3">
      <c r="A1526" s="22">
        <v>-5.0000000000000001E-9</v>
      </c>
      <c r="B1526" s="22">
        <v>2.7390703209999999E-2</v>
      </c>
    </row>
    <row r="1527" spans="1:4" x14ac:dyDescent="0.3">
      <c r="A1527" s="22">
        <v>0</v>
      </c>
      <c r="B1527" s="22">
        <v>2.8194723301999999E-2</v>
      </c>
    </row>
    <row r="1528" spans="1:4" x14ac:dyDescent="0.3">
      <c r="A1528" s="22">
        <v>5.0000000000000001E-9</v>
      </c>
      <c r="B1528" s="22">
        <v>2.8998743393000001E-2</v>
      </c>
    </row>
    <row r="1529" spans="1:4" x14ac:dyDescent="0.3">
      <c r="A1529" s="22">
        <v>1E-8</v>
      </c>
      <c r="B1529" s="22">
        <v>2.6586683117999999E-2</v>
      </c>
    </row>
    <row r="1530" spans="1:4" x14ac:dyDescent="0.3">
      <c r="A1530" s="22">
        <v>1.4999999999999999E-8</v>
      </c>
      <c r="B1530" s="22">
        <v>2.9802763485000001E-2</v>
      </c>
    </row>
    <row r="1531" spans="1:4" x14ac:dyDescent="0.3">
      <c r="A1531" s="22">
        <v>2E-8</v>
      </c>
      <c r="B1531" s="22">
        <v>2.7390703209999999E-2</v>
      </c>
    </row>
    <row r="1532" spans="1:4" x14ac:dyDescent="0.3">
      <c r="A1532" s="22">
        <v>2.4999999999999999E-8</v>
      </c>
      <c r="B1532" s="22">
        <v>3.0606783576999998E-2</v>
      </c>
    </row>
    <row r="1533" spans="1:4" x14ac:dyDescent="0.3">
      <c r="A1533" s="22">
        <v>2.9999999999999997E-8</v>
      </c>
      <c r="B1533" s="22">
        <v>2.9802763485000001E-2</v>
      </c>
    </row>
    <row r="1534" spans="1:4" x14ac:dyDescent="0.3">
      <c r="A1534" s="22">
        <v>3.5000000000000002E-8</v>
      </c>
      <c r="B1534" s="22">
        <v>2.6586683117999999E-2</v>
      </c>
      <c r="D1534" s="22">
        <f>AVERAGE(A1529,A1534,A1530,A1557,A1558,A1559,A1560,A1561,A1562)</f>
        <v>1.1500000000000001E-7</v>
      </c>
    </row>
    <row r="1535" spans="1:4" x14ac:dyDescent="0.3">
      <c r="A1535" s="22">
        <v>4.0000000000000001E-8</v>
      </c>
      <c r="B1535" s="22">
        <v>2.9802763485000001E-2</v>
      </c>
    </row>
    <row r="1536" spans="1:4" x14ac:dyDescent="0.3">
      <c r="A1536" s="22">
        <v>4.4999999999999999E-8</v>
      </c>
      <c r="B1536" s="22">
        <v>3.2214823761000003E-2</v>
      </c>
    </row>
    <row r="1537" spans="1:2" x14ac:dyDescent="0.3">
      <c r="A1537" s="22">
        <v>4.9999999999999998E-8</v>
      </c>
      <c r="B1537" s="22">
        <v>2.9802763485000001E-2</v>
      </c>
    </row>
    <row r="1538" spans="1:2" x14ac:dyDescent="0.3">
      <c r="A1538" s="22">
        <v>5.5000000000000003E-8</v>
      </c>
      <c r="B1538" s="22">
        <v>2.9802763485000001E-2</v>
      </c>
    </row>
    <row r="1539" spans="1:2" x14ac:dyDescent="0.3">
      <c r="A1539" s="22">
        <v>5.9999999999999995E-8</v>
      </c>
      <c r="B1539" s="22">
        <v>2.9802763485000001E-2</v>
      </c>
    </row>
    <row r="1540" spans="1:2" x14ac:dyDescent="0.3">
      <c r="A1540" s="22">
        <v>6.5E-8</v>
      </c>
      <c r="B1540" s="22">
        <v>3.1410803669000002E-2</v>
      </c>
    </row>
    <row r="1541" spans="1:2" x14ac:dyDescent="0.3">
      <c r="A1541" s="22">
        <v>7.0000000000000005E-8</v>
      </c>
      <c r="B1541" s="22">
        <v>3.0606783576999998E-2</v>
      </c>
    </row>
    <row r="1542" spans="1:2" x14ac:dyDescent="0.3">
      <c r="A1542" s="22">
        <v>7.4999999999999997E-8</v>
      </c>
      <c r="B1542" s="22">
        <v>3.4626884036999997E-2</v>
      </c>
    </row>
    <row r="1543" spans="1:2" x14ac:dyDescent="0.3">
      <c r="A1543" s="22">
        <v>8.0000000000000002E-8</v>
      </c>
      <c r="B1543" s="22">
        <v>2.9802763485000001E-2</v>
      </c>
    </row>
    <row r="1544" spans="1:2" x14ac:dyDescent="0.3">
      <c r="A1544" s="22">
        <v>8.4999999999999994E-8</v>
      </c>
      <c r="B1544" s="22">
        <v>3.0606783576999998E-2</v>
      </c>
    </row>
    <row r="1545" spans="1:2" x14ac:dyDescent="0.3">
      <c r="A1545" s="22">
        <v>8.9999999999999999E-8</v>
      </c>
      <c r="B1545" s="22">
        <v>3.1410803669000002E-2</v>
      </c>
    </row>
    <row r="1546" spans="1:2" x14ac:dyDescent="0.3">
      <c r="A1546" s="22">
        <v>9.5000000000000004E-8</v>
      </c>
      <c r="B1546" s="22">
        <v>3.0606783576999998E-2</v>
      </c>
    </row>
    <row r="1547" spans="1:2" x14ac:dyDescent="0.3">
      <c r="A1547" s="22">
        <v>9.9999999999999995E-8</v>
      </c>
      <c r="B1547" s="22">
        <v>2.9802763485000001E-2</v>
      </c>
    </row>
    <row r="1548" spans="1:2" x14ac:dyDescent="0.3">
      <c r="A1548" s="22">
        <v>1.05E-7</v>
      </c>
      <c r="B1548" s="22">
        <v>2.9802763485000001E-2</v>
      </c>
    </row>
    <row r="1549" spans="1:2" x14ac:dyDescent="0.3">
      <c r="A1549" s="22">
        <v>1.1000000000000001E-7</v>
      </c>
      <c r="B1549" s="22">
        <v>2.9802763485000001E-2</v>
      </c>
    </row>
    <row r="1550" spans="1:2" x14ac:dyDescent="0.3">
      <c r="A1550" s="22">
        <v>1.15E-7</v>
      </c>
      <c r="B1550" s="22">
        <v>2.8194723301999999E-2</v>
      </c>
    </row>
    <row r="1551" spans="1:2" x14ac:dyDescent="0.3">
      <c r="A1551" s="22">
        <v>1.1999999999999999E-7</v>
      </c>
      <c r="B1551" s="22">
        <v>2.8998743393000001E-2</v>
      </c>
    </row>
    <row r="1552" spans="1:2" x14ac:dyDescent="0.3">
      <c r="A1552" s="22">
        <v>1.2499999999999999E-7</v>
      </c>
      <c r="B1552" s="22">
        <v>3.3018843853000003E-2</v>
      </c>
    </row>
    <row r="1553" spans="1:2" x14ac:dyDescent="0.3">
      <c r="A1553" s="22">
        <v>1.3E-7</v>
      </c>
      <c r="B1553" s="22">
        <v>2.9802763485000001E-2</v>
      </c>
    </row>
    <row r="1554" spans="1:2" x14ac:dyDescent="0.3">
      <c r="A1554" s="22">
        <v>1.35E-7</v>
      </c>
      <c r="B1554" s="22">
        <v>2.8194723301000001E-2</v>
      </c>
    </row>
    <row r="1555" spans="1:2" x14ac:dyDescent="0.3">
      <c r="A1555" s="22">
        <v>1.4000000000000001E-7</v>
      </c>
      <c r="B1555" s="22">
        <v>2.9802763485000001E-2</v>
      </c>
    </row>
    <row r="1556" spans="1:2" x14ac:dyDescent="0.3">
      <c r="A1556" s="22">
        <v>1.4499999999999999E-7</v>
      </c>
      <c r="B1556" s="22">
        <v>3.1410803669000002E-2</v>
      </c>
    </row>
    <row r="1557" spans="1:2" x14ac:dyDescent="0.3">
      <c r="A1557" s="22">
        <v>1.4999999999999999E-7</v>
      </c>
      <c r="B1557" s="22">
        <v>2.6586683117999999E-2</v>
      </c>
    </row>
    <row r="1558" spans="1:2" x14ac:dyDescent="0.3">
      <c r="A1558" s="22">
        <v>1.55E-7</v>
      </c>
      <c r="B1558" s="22">
        <v>2.4174622842000001E-2</v>
      </c>
    </row>
    <row r="1559" spans="1:2" x14ac:dyDescent="0.3">
      <c r="A1559" s="22">
        <v>1.6E-7</v>
      </c>
      <c r="B1559" s="22">
        <v>2.4978642934000001E-2</v>
      </c>
    </row>
    <row r="1560" spans="1:2" x14ac:dyDescent="0.3">
      <c r="A1560" s="22">
        <v>1.6500000000000001E-7</v>
      </c>
      <c r="B1560" s="22">
        <v>2.5782663026000002E-2</v>
      </c>
    </row>
    <row r="1561" spans="1:2" x14ac:dyDescent="0.3">
      <c r="A1561" s="22">
        <v>1.6999999999999999E-7</v>
      </c>
      <c r="B1561" s="22">
        <v>2.0154522381999999E-2</v>
      </c>
    </row>
    <row r="1562" spans="1:2" x14ac:dyDescent="0.3">
      <c r="A1562" s="22">
        <v>1.7499999999999999E-7</v>
      </c>
      <c r="B1562" s="22">
        <v>2.0958542475000001E-2</v>
      </c>
    </row>
    <row r="1563" spans="1:2" x14ac:dyDescent="0.3">
      <c r="A1563" s="22">
        <v>1.8E-7</v>
      </c>
      <c r="B1563" s="22">
        <v>2.1762562566E-2</v>
      </c>
    </row>
    <row r="1564" spans="1:2" x14ac:dyDescent="0.3">
      <c r="A1564" s="22">
        <v>1.85E-7</v>
      </c>
      <c r="B1564" s="22">
        <v>1.6938442014999999E-2</v>
      </c>
    </row>
    <row r="1565" spans="1:2" x14ac:dyDescent="0.3">
      <c r="A1565" s="22">
        <v>1.9000000000000001E-7</v>
      </c>
      <c r="B1565" s="22">
        <v>1.4526381739E-2</v>
      </c>
    </row>
    <row r="1566" spans="1:2" x14ac:dyDescent="0.3">
      <c r="A1566" s="22">
        <v>1.9500000000000001E-7</v>
      </c>
      <c r="B1566" s="22">
        <v>1.2114321464000001E-2</v>
      </c>
    </row>
    <row r="1567" spans="1:2" x14ac:dyDescent="0.3">
      <c r="A1567" s="22">
        <v>1.9999999999999999E-7</v>
      </c>
      <c r="B1567" s="22">
        <v>1.050628128E-2</v>
      </c>
    </row>
    <row r="1568" spans="1:2" x14ac:dyDescent="0.3">
      <c r="A1568" s="22">
        <v>2.05E-7</v>
      </c>
      <c r="B1568" s="22">
        <v>1.2114321464000001E-2</v>
      </c>
    </row>
    <row r="1569" spans="1:2" x14ac:dyDescent="0.3">
      <c r="A1569" s="22">
        <v>2.1E-7</v>
      </c>
      <c r="B1569" s="22">
        <v>7.290200912E-3</v>
      </c>
    </row>
    <row r="1570" spans="1:2" x14ac:dyDescent="0.3">
      <c r="A1570" s="22">
        <v>2.1500000000000001E-7</v>
      </c>
      <c r="B1570" s="22">
        <v>1.6620602689999999E-3</v>
      </c>
    </row>
    <row r="1571" spans="1:2" x14ac:dyDescent="0.3">
      <c r="A1571" s="22">
        <v>2.2000000000000001E-7</v>
      </c>
      <c r="B1571" s="22">
        <v>7.290200912E-3</v>
      </c>
    </row>
    <row r="1572" spans="1:2" x14ac:dyDescent="0.3">
      <c r="A1572" s="22">
        <v>2.2499999999999999E-7</v>
      </c>
      <c r="B1572" s="22">
        <v>-5.5741205579999996E-3</v>
      </c>
    </row>
    <row r="1573" spans="1:2" x14ac:dyDescent="0.3">
      <c r="A1573" s="22">
        <v>2.2999999999999999E-7</v>
      </c>
      <c r="B1573" s="22">
        <v>-3.1620602820000001E-3</v>
      </c>
    </row>
    <row r="1574" spans="1:2" x14ac:dyDescent="0.3">
      <c r="A1574" s="22">
        <v>2.35E-7</v>
      </c>
      <c r="B1574" s="22">
        <v>-4.7701004660000001E-3</v>
      </c>
    </row>
    <row r="1575" spans="1:2" x14ac:dyDescent="0.3">
      <c r="A1575" s="22">
        <v>2.3999999999999998E-7</v>
      </c>
      <c r="B1575" s="22">
        <v>-8.790200925E-3</v>
      </c>
    </row>
    <row r="1576" spans="1:2" x14ac:dyDescent="0.3">
      <c r="A1576" s="22">
        <v>2.4499999999999998E-7</v>
      </c>
      <c r="B1576" s="22">
        <v>-7.9861808329999995E-3</v>
      </c>
    </row>
    <row r="1577" spans="1:2" x14ac:dyDescent="0.3">
      <c r="A1577" s="22">
        <v>2.4999999999999999E-7</v>
      </c>
      <c r="B1577" s="22">
        <v>-1.3614321477000001E-2</v>
      </c>
    </row>
    <row r="1578" spans="1:2" x14ac:dyDescent="0.3">
      <c r="A1578" s="22">
        <v>2.5499999999999999E-7</v>
      </c>
      <c r="B1578" s="22">
        <v>-1.0398241109000001E-2</v>
      </c>
    </row>
    <row r="1579" spans="1:2" x14ac:dyDescent="0.3">
      <c r="A1579" s="22">
        <v>2.6E-7</v>
      </c>
      <c r="B1579" s="22">
        <v>-1.5222361661E-2</v>
      </c>
    </row>
    <row r="1580" spans="1:2" x14ac:dyDescent="0.3">
      <c r="A1580" s="22">
        <v>2.65E-7</v>
      </c>
      <c r="B1580" s="22">
        <v>-1.2810301385E-2</v>
      </c>
    </row>
    <row r="1581" spans="1:2" x14ac:dyDescent="0.3">
      <c r="A1581" s="22">
        <v>2.7000000000000001E-7</v>
      </c>
      <c r="B1581" s="22">
        <v>-2.0046482211999998E-2</v>
      </c>
    </row>
    <row r="1582" spans="1:2" x14ac:dyDescent="0.3">
      <c r="A1582" s="22">
        <v>2.7500000000000001E-7</v>
      </c>
      <c r="B1582" s="22">
        <v>-1.4418341568000001E-2</v>
      </c>
    </row>
    <row r="1583" spans="1:2" x14ac:dyDescent="0.3">
      <c r="A1583" s="22">
        <v>2.8000000000000002E-7</v>
      </c>
      <c r="B1583" s="22">
        <v>-2.0850502303999999E-2</v>
      </c>
    </row>
    <row r="1584" spans="1:2" x14ac:dyDescent="0.3">
      <c r="A1584" s="22">
        <v>2.8500000000000002E-7</v>
      </c>
      <c r="B1584" s="22">
        <v>-2.0046482211999998E-2</v>
      </c>
    </row>
    <row r="1585" spans="1:2" x14ac:dyDescent="0.3">
      <c r="A1585" s="22">
        <v>2.8999999999999998E-7</v>
      </c>
      <c r="B1585" s="22">
        <v>-1.8438442028000001E-2</v>
      </c>
    </row>
    <row r="1586" spans="1:2" x14ac:dyDescent="0.3">
      <c r="A1586" s="22">
        <v>2.9499999999999998E-7</v>
      </c>
      <c r="B1586" s="22">
        <v>-2.4066582671000002E-2</v>
      </c>
    </row>
    <row r="1587" spans="1:2" x14ac:dyDescent="0.3">
      <c r="A1587" s="22">
        <v>2.9999999999999999E-7</v>
      </c>
      <c r="B1587" s="22">
        <v>-1.8438442028000001E-2</v>
      </c>
    </row>
    <row r="1588" spans="1:2" x14ac:dyDescent="0.3">
      <c r="A1588" s="22">
        <v>3.0499999999999999E-7</v>
      </c>
      <c r="B1588" s="22">
        <v>-2.1654522395999999E-2</v>
      </c>
    </row>
    <row r="1589" spans="1:2" x14ac:dyDescent="0.3">
      <c r="A1589" s="22">
        <v>3.1E-7</v>
      </c>
      <c r="B1589" s="22">
        <v>-2.0046482211999998E-2</v>
      </c>
    </row>
    <row r="1590" spans="1:2" x14ac:dyDescent="0.3">
      <c r="A1590" s="22">
        <v>3.15E-7</v>
      </c>
      <c r="B1590" s="22">
        <v>-2.4066582671000002E-2</v>
      </c>
    </row>
    <row r="1591" spans="1:2" x14ac:dyDescent="0.3">
      <c r="A1591" s="22">
        <v>3.2000000000000001E-7</v>
      </c>
      <c r="B1591" s="22">
        <v>-2.0046482211999998E-2</v>
      </c>
    </row>
    <row r="1592" spans="1:2" x14ac:dyDescent="0.3">
      <c r="A1592" s="22">
        <v>3.2500000000000001E-7</v>
      </c>
      <c r="B1592" s="22">
        <v>-2.2458542487000001E-2</v>
      </c>
    </row>
    <row r="1593" spans="1:2" x14ac:dyDescent="0.3">
      <c r="A1593" s="22">
        <v>3.3000000000000002E-7</v>
      </c>
      <c r="B1593" s="22">
        <v>-1.9242462120000001E-2</v>
      </c>
    </row>
    <row r="1594" spans="1:2" x14ac:dyDescent="0.3">
      <c r="A1594" s="22">
        <v>3.3500000000000002E-7</v>
      </c>
      <c r="B1594" s="22">
        <v>-1.9242462120000001E-2</v>
      </c>
    </row>
    <row r="1595" spans="1:2" x14ac:dyDescent="0.3">
      <c r="A1595" s="22">
        <v>3.3999999999999997E-7</v>
      </c>
      <c r="B1595" s="22">
        <v>-2.0046482211999998E-2</v>
      </c>
    </row>
    <row r="1596" spans="1:2" x14ac:dyDescent="0.3">
      <c r="A1596" s="22">
        <v>3.4499999999999998E-7</v>
      </c>
      <c r="B1596" s="22">
        <v>-2.0850502303999999E-2</v>
      </c>
    </row>
    <row r="1597" spans="1:2" x14ac:dyDescent="0.3">
      <c r="A1597" s="22">
        <v>3.4999999999999998E-7</v>
      </c>
      <c r="B1597" s="22">
        <v>-1.9242462120000001E-2</v>
      </c>
    </row>
    <row r="1598" spans="1:2" x14ac:dyDescent="0.3">
      <c r="A1598" s="22">
        <v>3.5499999999999999E-7</v>
      </c>
      <c r="B1598" s="22">
        <v>-1.8438442028000001E-2</v>
      </c>
    </row>
    <row r="1599" spans="1:2" x14ac:dyDescent="0.3">
      <c r="A1599" s="22">
        <v>3.5999999999999999E-7</v>
      </c>
      <c r="B1599" s="22">
        <v>-1.8438442028000001E-2</v>
      </c>
    </row>
    <row r="1600" spans="1:2" x14ac:dyDescent="0.3">
      <c r="A1600" s="22">
        <v>3.65E-7</v>
      </c>
      <c r="B1600" s="22">
        <v>-1.9242462120000001E-2</v>
      </c>
    </row>
    <row r="1601" spans="1:2" x14ac:dyDescent="0.3">
      <c r="A1601" s="22">
        <v>3.7E-7</v>
      </c>
      <c r="B1601" s="22">
        <v>-1.6026381752999998E-2</v>
      </c>
    </row>
    <row r="1602" spans="1:2" x14ac:dyDescent="0.3">
      <c r="A1602" s="22">
        <v>3.7500000000000001E-7</v>
      </c>
      <c r="B1602" s="22">
        <v>-2.0046482211999998E-2</v>
      </c>
    </row>
    <row r="1603" spans="1:2" x14ac:dyDescent="0.3">
      <c r="A1603" s="22">
        <v>3.8000000000000001E-7</v>
      </c>
      <c r="B1603" s="22">
        <v>-1.6830401844E-2</v>
      </c>
    </row>
    <row r="1604" spans="1:2" x14ac:dyDescent="0.3">
      <c r="A1604" s="22">
        <v>3.8500000000000002E-7</v>
      </c>
      <c r="B1604" s="22">
        <v>-1.9242462120000001E-2</v>
      </c>
    </row>
    <row r="1605" spans="1:2" x14ac:dyDescent="0.3">
      <c r="A1605" s="22">
        <v>3.9000000000000002E-7</v>
      </c>
      <c r="B1605" s="22">
        <v>-2.326256258E-2</v>
      </c>
    </row>
    <row r="1606" spans="1:2" x14ac:dyDescent="0.3">
      <c r="A1606" s="22">
        <v>3.9499999999999998E-7</v>
      </c>
      <c r="B1606" s="22">
        <v>-1.9242462120000001E-2</v>
      </c>
    </row>
    <row r="1607" spans="1:2" x14ac:dyDescent="0.3">
      <c r="A1607" s="22">
        <v>3.9999999999999998E-7</v>
      </c>
      <c r="B1607" s="22">
        <v>-2.0850502303999999E-2</v>
      </c>
    </row>
    <row r="1608" spans="1:2" x14ac:dyDescent="0.3">
      <c r="A1608" s="22">
        <v>4.0499999999999999E-7</v>
      </c>
      <c r="B1608" s="22">
        <v>-2.0850502303999999E-2</v>
      </c>
    </row>
    <row r="1609" spans="1:2" x14ac:dyDescent="0.3">
      <c r="A1609" s="22">
        <v>4.0999999999999999E-7</v>
      </c>
      <c r="B1609" s="22">
        <v>-2.2458542487000001E-2</v>
      </c>
    </row>
    <row r="1610" spans="1:2" x14ac:dyDescent="0.3">
      <c r="A1610" s="22">
        <v>4.15E-7</v>
      </c>
      <c r="B1610" s="22">
        <v>-2.1654522395999999E-2</v>
      </c>
    </row>
    <row r="1611" spans="1:2" x14ac:dyDescent="0.3">
      <c r="A1611" s="22">
        <v>4.2E-7</v>
      </c>
      <c r="B1611" s="22">
        <v>-2.5674622854999999E-2</v>
      </c>
    </row>
    <row r="1612" spans="1:2" x14ac:dyDescent="0.3">
      <c r="A1612" s="22">
        <v>4.2500000000000001E-7</v>
      </c>
      <c r="B1612" s="22">
        <v>-2.0850502303999999E-2</v>
      </c>
    </row>
    <row r="1613" spans="1:2" x14ac:dyDescent="0.3">
      <c r="A1613" s="22">
        <v>4.3000000000000001E-7</v>
      </c>
      <c r="B1613" s="22">
        <v>-2.4870602762999999E-2</v>
      </c>
    </row>
    <row r="1614" spans="1:2" x14ac:dyDescent="0.3">
      <c r="A1614" s="22">
        <v>4.3500000000000002E-7</v>
      </c>
      <c r="B1614" s="22">
        <v>-2.3262562579000001E-2</v>
      </c>
    </row>
    <row r="1615" spans="1:2" x14ac:dyDescent="0.3">
      <c r="A1615" s="22">
        <v>4.4000000000000002E-7</v>
      </c>
      <c r="B1615" s="22">
        <v>-2.2458542488E-2</v>
      </c>
    </row>
    <row r="1616" spans="1:2" x14ac:dyDescent="0.3">
      <c r="A1616" s="22">
        <v>4.4499999999999997E-7</v>
      </c>
      <c r="B1616" s="22">
        <v>-2.326256258E-2</v>
      </c>
    </row>
    <row r="1617" spans="1:2" x14ac:dyDescent="0.3">
      <c r="A1617" s="22">
        <v>4.4999999999999998E-7</v>
      </c>
      <c r="B1617" s="22">
        <v>-2.7282663039E-2</v>
      </c>
    </row>
    <row r="1618" spans="1:2" x14ac:dyDescent="0.3">
      <c r="A1618" s="22">
        <v>4.5499999999999998E-7</v>
      </c>
      <c r="B1618" s="22">
        <v>-2.2458542488E-2</v>
      </c>
    </row>
    <row r="1619" spans="1:2" x14ac:dyDescent="0.3">
      <c r="A1619" s="22">
        <v>4.5999999999999999E-7</v>
      </c>
      <c r="B1619" s="22">
        <v>-2.5674622854999999E-2</v>
      </c>
    </row>
    <row r="1620" spans="1:2" x14ac:dyDescent="0.3">
      <c r="A1620" s="22">
        <v>4.6499999999999999E-7</v>
      </c>
      <c r="B1620" s="22">
        <v>-2.8086683131E-2</v>
      </c>
    </row>
    <row r="1621" spans="1:2" x14ac:dyDescent="0.3">
      <c r="A1621" s="22">
        <v>4.7E-7</v>
      </c>
      <c r="B1621" s="22">
        <v>-2.5674622854999999E-2</v>
      </c>
    </row>
    <row r="1622" spans="1:2" x14ac:dyDescent="0.3">
      <c r="A1622" s="22">
        <v>4.75E-7</v>
      </c>
      <c r="B1622" s="22">
        <v>-2.8890703223000001E-2</v>
      </c>
    </row>
    <row r="1623" spans="1:2" x14ac:dyDescent="0.3">
      <c r="A1623" s="22">
        <v>4.7999999999999996E-7</v>
      </c>
      <c r="B1623" s="22">
        <v>-2.0850502303999999E-2</v>
      </c>
    </row>
    <row r="1624" spans="1:2" x14ac:dyDescent="0.3">
      <c r="A1624" s="22">
        <v>4.8500000000000002E-7</v>
      </c>
      <c r="B1624" s="22">
        <v>-3.1302763498E-2</v>
      </c>
    </row>
    <row r="1625" spans="1:2" x14ac:dyDescent="0.3">
      <c r="A1625" s="22">
        <v>4.8999999999999997E-7</v>
      </c>
      <c r="B1625" s="22">
        <v>-2.4870602762999999E-2</v>
      </c>
    </row>
    <row r="1626" spans="1:2" x14ac:dyDescent="0.3">
      <c r="A1626" s="22">
        <v>4.9500000000000003E-7</v>
      </c>
      <c r="B1626" s="22">
        <v>-3.0498743405999999E-2</v>
      </c>
    </row>
    <row r="1627" spans="1:2" x14ac:dyDescent="0.3">
      <c r="A1627" s="22">
        <v>4.9999999999999998E-7</v>
      </c>
      <c r="B1627" s="22">
        <v>-2.5674622854999999E-2</v>
      </c>
    </row>
    <row r="1628" spans="1:2" x14ac:dyDescent="0.3">
      <c r="A1628" s="22">
        <v>5.0500000000000004E-7</v>
      </c>
      <c r="B1628" s="22">
        <v>-2.8086683131E-2</v>
      </c>
    </row>
    <row r="1629" spans="1:2" x14ac:dyDescent="0.3">
      <c r="A1629" s="22">
        <v>5.0999999999999999E-7</v>
      </c>
      <c r="B1629" s="22">
        <v>-2.5674622854999999E-2</v>
      </c>
    </row>
    <row r="1630" spans="1:2" x14ac:dyDescent="0.3">
      <c r="A1630" s="22">
        <v>5.1500000000000005E-7</v>
      </c>
      <c r="B1630" s="22">
        <v>-2.5674622854999999E-2</v>
      </c>
    </row>
    <row r="1631" spans="1:2" x14ac:dyDescent="0.3">
      <c r="A1631" s="22">
        <v>5.2E-7</v>
      </c>
      <c r="B1631" s="22">
        <v>-2.7282663039E-2</v>
      </c>
    </row>
    <row r="1632" spans="1:2" x14ac:dyDescent="0.3">
      <c r="A1632" s="22">
        <v>5.2499999999999995E-7</v>
      </c>
      <c r="B1632" s="22">
        <v>-2.6478642946999999E-2</v>
      </c>
    </row>
    <row r="1633" spans="1:6" x14ac:dyDescent="0.3">
      <c r="A1633" s="22">
        <v>5.3000000000000001E-7</v>
      </c>
      <c r="B1633" s="22">
        <v>-2.8086683131E-2</v>
      </c>
    </row>
    <row r="1634" spans="1:6" x14ac:dyDescent="0.3">
      <c r="A1634" s="22">
        <v>5.3499999999999996E-7</v>
      </c>
      <c r="B1634" s="22">
        <v>-2.5674622854999999E-2</v>
      </c>
    </row>
    <row r="1635" spans="1:6" x14ac:dyDescent="0.3">
      <c r="A1635" s="22">
        <v>5.4000000000000002E-7</v>
      </c>
      <c r="B1635" s="22">
        <v>-2.8086683131E-2</v>
      </c>
    </row>
    <row r="1636" spans="1:6" x14ac:dyDescent="0.3">
      <c r="A1636" s="22">
        <v>5.4499999999999997E-7</v>
      </c>
      <c r="B1636" s="22">
        <v>-2.8890703223000001E-2</v>
      </c>
    </row>
    <row r="1637" spans="1:6" x14ac:dyDescent="0.3">
      <c r="A1637" s="22">
        <v>5.5000000000000003E-7</v>
      </c>
      <c r="B1637" s="22">
        <v>-2.7282663039E-2</v>
      </c>
    </row>
    <row r="1638" spans="1:6" x14ac:dyDescent="0.3">
      <c r="A1638" s="22">
        <v>5.5499999999999998E-7</v>
      </c>
      <c r="B1638" s="22">
        <v>-2.9694723315000001E-2</v>
      </c>
    </row>
    <row r="1639" spans="1:6" x14ac:dyDescent="0.3">
      <c r="A1639" s="22">
        <v>5.6000000000000004E-7</v>
      </c>
      <c r="B1639" s="22">
        <v>-2.7282663039E-2</v>
      </c>
    </row>
    <row r="1640" spans="1:6" x14ac:dyDescent="0.3">
      <c r="A1640" s="22">
        <v>5.6499999999999999E-7</v>
      </c>
      <c r="B1640" s="22">
        <v>-2.5674622854999999E-2</v>
      </c>
    </row>
    <row r="1641" spans="1:6" x14ac:dyDescent="0.3">
      <c r="A1641" s="22">
        <v>5.7000000000000005E-7</v>
      </c>
      <c r="B1641" s="22">
        <v>-2.9694723313999999E-2</v>
      </c>
    </row>
    <row r="1642" spans="1:6" x14ac:dyDescent="0.3">
      <c r="A1642" s="22">
        <v>5.75E-7</v>
      </c>
      <c r="B1642" s="22">
        <v>-2.4066582672E-2</v>
      </c>
    </row>
    <row r="1643" spans="1:6" x14ac:dyDescent="0.3">
      <c r="A1643" s="22">
        <v>5.7999999999999995E-7</v>
      </c>
      <c r="B1643" s="22">
        <v>-2.6478642946999999E-2</v>
      </c>
    </row>
    <row r="1644" spans="1:6" x14ac:dyDescent="0.3">
      <c r="A1644" s="22">
        <v>5.8500000000000001E-7</v>
      </c>
      <c r="B1644" s="22">
        <v>-2.7282663039E-2</v>
      </c>
    </row>
    <row r="1645" spans="1:6" x14ac:dyDescent="0.3">
      <c r="A1645" s="22">
        <v>5.8999999999999996E-7</v>
      </c>
      <c r="B1645" s="22">
        <v>-2.8890703223000001E-2</v>
      </c>
      <c r="F1645" s="22"/>
    </row>
    <row r="1646" spans="1:6" x14ac:dyDescent="0.3">
      <c r="A1646" s="22">
        <v>5.9500000000000002E-7</v>
      </c>
      <c r="B1646" s="22">
        <v>-2.8086683131E-2</v>
      </c>
      <c r="E1646" s="22"/>
      <c r="F1646" s="22"/>
    </row>
    <row r="1647" spans="1:6" x14ac:dyDescent="0.3">
      <c r="A1647" s="22">
        <v>5.9999999999999997E-7</v>
      </c>
      <c r="B1647" s="22">
        <v>-2.7282663039E-2</v>
      </c>
    </row>
    <row r="1648" spans="1:6" x14ac:dyDescent="0.3">
      <c r="A1648" s="22">
        <v>6.0500000000000003E-7</v>
      </c>
      <c r="B1648" s="22">
        <v>-2.5674622854999999E-2</v>
      </c>
    </row>
    <row r="1649" spans="1:2" x14ac:dyDescent="0.3">
      <c r="A1649" s="22">
        <v>6.0999999999999998E-7</v>
      </c>
      <c r="B1649" s="22">
        <v>-2.8890703223000001E-2</v>
      </c>
    </row>
    <row r="1650" spans="1:2" x14ac:dyDescent="0.3">
      <c r="A1650" s="22">
        <v>6.1500000000000004E-7</v>
      </c>
      <c r="B1650" s="22">
        <v>-2.4870602762999999E-2</v>
      </c>
    </row>
    <row r="1651" spans="1:2" x14ac:dyDescent="0.3">
      <c r="A1651" s="22">
        <v>6.1999999999999999E-7</v>
      </c>
      <c r="B1651" s="22">
        <v>-2.4870602762999999E-2</v>
      </c>
    </row>
    <row r="1652" spans="1:2" x14ac:dyDescent="0.3">
      <c r="A1652" s="22">
        <v>6.2500000000000005E-7</v>
      </c>
      <c r="B1652" s="22">
        <v>-2.9694723313999999E-2</v>
      </c>
    </row>
    <row r="1653" spans="1:2" x14ac:dyDescent="0.3">
      <c r="A1653" s="22">
        <v>6.3E-7</v>
      </c>
      <c r="B1653" s="22">
        <v>-2.8086683131E-2</v>
      </c>
    </row>
    <row r="1654" spans="1:2" x14ac:dyDescent="0.3">
      <c r="A1654" s="22">
        <v>6.3499999999999996E-7</v>
      </c>
      <c r="B1654" s="22">
        <v>-2.9694723313999999E-2</v>
      </c>
    </row>
    <row r="1655" spans="1:2" x14ac:dyDescent="0.3">
      <c r="A1655" s="22">
        <v>6.4000000000000001E-7</v>
      </c>
      <c r="B1655" s="22">
        <v>-2.9694723315000001E-2</v>
      </c>
    </row>
    <row r="1656" spans="1:2" x14ac:dyDescent="0.3">
      <c r="A1656" s="22">
        <v>6.4499999999999997E-7</v>
      </c>
      <c r="B1656" s="22">
        <v>-2.6478642946999999E-2</v>
      </c>
    </row>
    <row r="1657" spans="1:2" x14ac:dyDescent="0.3">
      <c r="A1657" s="22">
        <v>6.5000000000000002E-7</v>
      </c>
      <c r="B1657" s="22">
        <v>-2.8890703223000001E-2</v>
      </c>
    </row>
    <row r="1658" spans="1:2" x14ac:dyDescent="0.3">
      <c r="A1658" s="22">
        <v>6.5499999999999998E-7</v>
      </c>
      <c r="B1658" s="22">
        <v>-2.8890703223000001E-2</v>
      </c>
    </row>
    <row r="1659" spans="1:2" x14ac:dyDescent="0.3">
      <c r="A1659" s="22">
        <v>6.6000000000000003E-7</v>
      </c>
      <c r="B1659" s="22">
        <v>-2.6478642946999999E-2</v>
      </c>
    </row>
    <row r="1660" spans="1:2" x14ac:dyDescent="0.3">
      <c r="A1660" s="22">
        <v>6.6499999999999999E-7</v>
      </c>
      <c r="B1660" s="22">
        <v>-2.9694723315000001E-2</v>
      </c>
    </row>
    <row r="1661" spans="1:2" x14ac:dyDescent="0.3">
      <c r="A1661" s="22">
        <v>6.7000000000000004E-7</v>
      </c>
      <c r="B1661" s="22">
        <v>-2.9694723313999999E-2</v>
      </c>
    </row>
    <row r="1662" spans="1:2" x14ac:dyDescent="0.3">
      <c r="A1662" s="22">
        <v>6.75E-7</v>
      </c>
      <c r="B1662" s="22">
        <v>-2.8890703223000001E-2</v>
      </c>
    </row>
    <row r="1663" spans="1:2" x14ac:dyDescent="0.3">
      <c r="A1663" s="22">
        <v>6.7999999999999995E-7</v>
      </c>
      <c r="B1663" s="22">
        <v>-2.8890703223000001E-2</v>
      </c>
    </row>
    <row r="1664" spans="1:2" x14ac:dyDescent="0.3">
      <c r="A1664" s="22">
        <v>6.8500000000000001E-7</v>
      </c>
      <c r="B1664" s="22">
        <v>-3.0498743407000001E-2</v>
      </c>
    </row>
    <row r="1665" spans="1:2" x14ac:dyDescent="0.3">
      <c r="A1665" s="22">
        <v>6.8999999999999996E-7</v>
      </c>
      <c r="B1665" s="22">
        <v>-3.1302763498E-2</v>
      </c>
    </row>
    <row r="1666" spans="1:2" x14ac:dyDescent="0.3">
      <c r="A1666" s="22">
        <v>6.9500000000000002E-7</v>
      </c>
      <c r="B1666" s="22">
        <v>-2.8890703223000001E-2</v>
      </c>
    </row>
    <row r="1667" spans="1:2" x14ac:dyDescent="0.3">
      <c r="A1667" s="22">
        <v>6.9999999999999997E-7</v>
      </c>
      <c r="B1667" s="22">
        <v>-3.1302763498E-2</v>
      </c>
    </row>
    <row r="1668" spans="1:2" x14ac:dyDescent="0.3">
      <c r="A1668" s="22">
        <v>7.0500000000000003E-7</v>
      </c>
      <c r="B1668" s="22">
        <v>-3.210678359E-2</v>
      </c>
    </row>
    <row r="1669" spans="1:2" x14ac:dyDescent="0.3">
      <c r="A1669" s="22">
        <v>7.0999999999999998E-7</v>
      </c>
      <c r="B1669" s="22">
        <v>-3.3714823774000001E-2</v>
      </c>
    </row>
    <row r="1670" spans="1:2" x14ac:dyDescent="0.3">
      <c r="A1670" s="22">
        <v>7.1500000000000004E-7</v>
      </c>
      <c r="B1670" s="22">
        <v>-3.2910803682000001E-2</v>
      </c>
    </row>
    <row r="1671" spans="1:2" x14ac:dyDescent="0.3">
      <c r="A1671" s="22">
        <v>7.1999999999999999E-7</v>
      </c>
      <c r="B1671" s="22">
        <v>-3.2910803682000001E-2</v>
      </c>
    </row>
    <row r="1672" spans="1:2" x14ac:dyDescent="0.3">
      <c r="A1672" s="22">
        <v>7.2500000000000005E-7</v>
      </c>
      <c r="B1672" s="22">
        <v>-3.4518843866000001E-2</v>
      </c>
    </row>
    <row r="1673" spans="1:2" x14ac:dyDescent="0.3">
      <c r="A1673" s="22">
        <v>7.3E-7</v>
      </c>
      <c r="B1673" s="22">
        <v>-3.3714823774000001E-2</v>
      </c>
    </row>
    <row r="1674" spans="1:2" x14ac:dyDescent="0.3">
      <c r="A1674" s="22">
        <v>7.3499999999999995E-7</v>
      </c>
      <c r="B1674" s="22">
        <v>-3.6126884050000002E-2</v>
      </c>
    </row>
    <row r="1675" spans="1:2" x14ac:dyDescent="0.3">
      <c r="A1675" s="22">
        <v>7.4000000000000001E-7</v>
      </c>
      <c r="B1675" s="22">
        <v>-3.3714823774000001E-2</v>
      </c>
    </row>
    <row r="1676" spans="1:2" x14ac:dyDescent="0.3">
      <c r="A1676" s="22">
        <v>7.4499999999999996E-7</v>
      </c>
      <c r="B1676" s="22">
        <v>-3.5322863958000002E-2</v>
      </c>
    </row>
    <row r="1677" spans="1:2" x14ac:dyDescent="0.3">
      <c r="A1677" s="22">
        <v>7.5000000000000002E-7</v>
      </c>
      <c r="B1677" s="22">
        <v>-3.2910803682000001E-2</v>
      </c>
    </row>
    <row r="1678" spans="1:2" x14ac:dyDescent="0.3">
      <c r="A1678" s="22">
        <v>7.5499999999999997E-7</v>
      </c>
      <c r="B1678" s="22">
        <v>-3.4518843866000001E-2</v>
      </c>
    </row>
    <row r="1679" spans="1:2" x14ac:dyDescent="0.3">
      <c r="A1679" s="22">
        <v>7.6000000000000003E-7</v>
      </c>
      <c r="B1679" s="22">
        <v>-3.5322863958000002E-2</v>
      </c>
    </row>
    <row r="1680" spans="1:2" x14ac:dyDescent="0.3">
      <c r="A1680" s="22">
        <v>7.6499999999999998E-7</v>
      </c>
      <c r="B1680" s="22">
        <v>-3.6126884050000002E-2</v>
      </c>
    </row>
    <row r="1681" spans="1:2" x14ac:dyDescent="0.3">
      <c r="A1681" s="22">
        <v>7.7000000000000004E-7</v>
      </c>
      <c r="B1681" s="22">
        <v>-3.4518843866000001E-2</v>
      </c>
    </row>
    <row r="1682" spans="1:2" x14ac:dyDescent="0.3">
      <c r="A1682" s="22">
        <v>7.7499999999999999E-7</v>
      </c>
      <c r="B1682" s="22">
        <v>-3.2910803682000001E-2</v>
      </c>
    </row>
    <row r="1683" spans="1:2" x14ac:dyDescent="0.3">
      <c r="A1683" s="22">
        <v>7.8000000000000005E-7</v>
      </c>
      <c r="B1683" s="22">
        <v>-3.6126884050000002E-2</v>
      </c>
    </row>
    <row r="1684" spans="1:2" x14ac:dyDescent="0.3">
      <c r="A1684" s="22">
        <v>7.85E-7</v>
      </c>
      <c r="B1684" s="22">
        <v>-3.2910803682000001E-2</v>
      </c>
    </row>
    <row r="1685" spans="1:2" x14ac:dyDescent="0.3">
      <c r="A1685" s="22">
        <v>7.8999999999999995E-7</v>
      </c>
      <c r="B1685" s="22">
        <v>-3.4518843866000001E-2</v>
      </c>
    </row>
    <row r="1686" spans="1:2" x14ac:dyDescent="0.3">
      <c r="A1686" s="22">
        <v>7.9500000000000001E-7</v>
      </c>
      <c r="B1686" s="22">
        <v>-3.210678359E-2</v>
      </c>
    </row>
    <row r="1687" spans="1:2" x14ac:dyDescent="0.3">
      <c r="A1687" s="22">
        <v>7.9999999999999996E-7</v>
      </c>
      <c r="B1687" s="22">
        <v>-3.2910803682999999E-2</v>
      </c>
    </row>
    <row r="1688" spans="1:2" x14ac:dyDescent="0.3">
      <c r="A1688" s="22">
        <v>8.0500000000000002E-7</v>
      </c>
      <c r="B1688" s="22">
        <v>-3.210678359E-2</v>
      </c>
    </row>
    <row r="1689" spans="1:2" x14ac:dyDescent="0.3">
      <c r="A1689" s="22">
        <v>8.0999999999999997E-7</v>
      </c>
      <c r="B1689" s="22">
        <v>-2.8890703223000001E-2</v>
      </c>
    </row>
    <row r="1690" spans="1:2" x14ac:dyDescent="0.3">
      <c r="A1690" s="22">
        <v>8.1500000000000003E-7</v>
      </c>
      <c r="B1690" s="22">
        <v>-3.3714823774000001E-2</v>
      </c>
    </row>
    <row r="1691" spans="1:2" x14ac:dyDescent="0.3">
      <c r="A1691" s="22">
        <v>8.1999999999999998E-7</v>
      </c>
      <c r="B1691" s="22">
        <v>-3.4518843866000001E-2</v>
      </c>
    </row>
    <row r="1692" spans="1:2" x14ac:dyDescent="0.3">
      <c r="A1692" s="22">
        <v>8.2500000000000004E-7</v>
      </c>
      <c r="B1692" s="22">
        <v>-3.4518843866000001E-2</v>
      </c>
    </row>
    <row r="1693" spans="1:2" x14ac:dyDescent="0.3">
      <c r="A1693" s="22">
        <v>8.2999999999999999E-7</v>
      </c>
      <c r="B1693" s="22">
        <v>-3.4518843866000001E-2</v>
      </c>
    </row>
    <row r="1694" spans="1:2" x14ac:dyDescent="0.3">
      <c r="A1694" s="22">
        <v>8.3500000000000005E-7</v>
      </c>
      <c r="B1694" s="22">
        <v>-3.3714823774000001E-2</v>
      </c>
    </row>
    <row r="1695" spans="1:2" x14ac:dyDescent="0.3">
      <c r="A1695" s="22">
        <v>8.4E-7</v>
      </c>
      <c r="B1695" s="22">
        <v>-3.210678359E-2</v>
      </c>
    </row>
    <row r="1696" spans="1:2" x14ac:dyDescent="0.3">
      <c r="A1696" s="22">
        <v>8.4499999999999996E-7</v>
      </c>
      <c r="B1696" s="22">
        <v>-3.1302763498E-2</v>
      </c>
    </row>
    <row r="1697" spans="1:2" x14ac:dyDescent="0.3">
      <c r="A1697" s="22">
        <v>8.5000000000000001E-7</v>
      </c>
      <c r="B1697" s="22">
        <v>-3.1302763498999998E-2</v>
      </c>
    </row>
    <row r="1698" spans="1:2" x14ac:dyDescent="0.3">
      <c r="A1698" s="22">
        <v>8.5499999999999997E-7</v>
      </c>
      <c r="B1698" s="22">
        <v>-2.8890703223000001E-2</v>
      </c>
    </row>
    <row r="1699" spans="1:2" x14ac:dyDescent="0.3">
      <c r="A1699" s="22">
        <v>8.6000000000000002E-7</v>
      </c>
      <c r="B1699" s="22">
        <v>-3.2910803682000001E-2</v>
      </c>
    </row>
    <row r="1700" spans="1:2" x14ac:dyDescent="0.3">
      <c r="A1700" s="22">
        <v>8.6499999999999998E-7</v>
      </c>
      <c r="B1700" s="22">
        <v>-3.210678359E-2</v>
      </c>
    </row>
    <row r="1701" spans="1:2" x14ac:dyDescent="0.3">
      <c r="A1701" s="22">
        <v>8.7000000000000003E-7</v>
      </c>
      <c r="B1701" s="22">
        <v>-3.0498743407000001E-2</v>
      </c>
    </row>
    <row r="1702" spans="1:2" x14ac:dyDescent="0.3">
      <c r="A1702" s="22">
        <v>8.7499999999999999E-7</v>
      </c>
      <c r="B1702" s="22">
        <v>-3.1302763498999998E-2</v>
      </c>
    </row>
    <row r="1703" spans="1:2" x14ac:dyDescent="0.3">
      <c r="A1703" s="22">
        <v>8.8000000000000004E-7</v>
      </c>
      <c r="B1703" s="22">
        <v>-2.9694723315000001E-2</v>
      </c>
    </row>
    <row r="1704" spans="1:2" x14ac:dyDescent="0.3">
      <c r="A1704" s="22">
        <v>8.85E-7</v>
      </c>
      <c r="B1704" s="22">
        <v>-3.2910803682000001E-2</v>
      </c>
    </row>
    <row r="1705" spans="1:2" x14ac:dyDescent="0.3">
      <c r="A1705" s="22">
        <v>8.8999999999999995E-7</v>
      </c>
      <c r="B1705" s="22">
        <v>-3.2910803682000001E-2</v>
      </c>
    </row>
    <row r="1706" spans="1:2" x14ac:dyDescent="0.3">
      <c r="A1706" s="22">
        <v>8.9500000000000001E-7</v>
      </c>
      <c r="B1706" s="22">
        <v>-3.6126884050000002E-2</v>
      </c>
    </row>
    <row r="1707" spans="1:2" x14ac:dyDescent="0.3">
      <c r="A1707" s="22">
        <v>8.9999999999999996E-7</v>
      </c>
      <c r="B1707" s="22">
        <v>-3.2910803682000001E-2</v>
      </c>
    </row>
    <row r="1708" spans="1:2" x14ac:dyDescent="0.3">
      <c r="A1708" s="22">
        <v>9.0500000000000002E-7</v>
      </c>
      <c r="B1708" s="22">
        <v>-3.4518843866000001E-2</v>
      </c>
    </row>
    <row r="1709" spans="1:2" x14ac:dyDescent="0.3">
      <c r="A1709" s="22">
        <v>9.0999999999999997E-7</v>
      </c>
      <c r="B1709" s="22">
        <v>-3.210678359E-2</v>
      </c>
    </row>
    <row r="1710" spans="1:2" x14ac:dyDescent="0.3">
      <c r="A1710" s="22">
        <v>9.1500000000000003E-7</v>
      </c>
      <c r="B1710" s="22">
        <v>-3.3714823774000001E-2</v>
      </c>
    </row>
    <row r="1711" spans="1:2" x14ac:dyDescent="0.3">
      <c r="A1711" s="22">
        <v>9.1999999999999998E-7</v>
      </c>
      <c r="B1711" s="22">
        <v>-3.1302763498999998E-2</v>
      </c>
    </row>
    <row r="1712" spans="1:2" x14ac:dyDescent="0.3">
      <c r="A1712" s="22">
        <v>9.2500000000000004E-7</v>
      </c>
      <c r="B1712" s="22">
        <v>-3.1302763498E-2</v>
      </c>
    </row>
    <row r="1713" spans="1:2" x14ac:dyDescent="0.3">
      <c r="A1713" s="22">
        <v>9.2999999999999999E-7</v>
      </c>
      <c r="B1713" s="22">
        <v>-3.6930904140999997E-2</v>
      </c>
    </row>
    <row r="1714" spans="1:2" x14ac:dyDescent="0.3">
      <c r="A1714" s="22">
        <v>9.3500000000000005E-7</v>
      </c>
      <c r="B1714" s="22">
        <v>-3.2910803682000001E-2</v>
      </c>
    </row>
    <row r="1715" spans="1:2" x14ac:dyDescent="0.3">
      <c r="A1715" s="22">
        <v>9.4E-7</v>
      </c>
      <c r="B1715" s="22">
        <v>-3.4518843866000001E-2</v>
      </c>
    </row>
    <row r="1716" spans="1:2" x14ac:dyDescent="0.3">
      <c r="A1716" s="22">
        <v>9.4499999999999995E-7</v>
      </c>
      <c r="B1716" s="22">
        <v>-3.2910803682000001E-2</v>
      </c>
    </row>
    <row r="1717" spans="1:2" x14ac:dyDescent="0.3">
      <c r="A1717" s="22">
        <v>9.5000000000000001E-7</v>
      </c>
      <c r="B1717" s="22">
        <v>-3.4518843866000001E-2</v>
      </c>
    </row>
    <row r="1718" spans="1:2" x14ac:dyDescent="0.3">
      <c r="A1718" s="22">
        <v>9.5499999999999996E-7</v>
      </c>
      <c r="B1718" s="22">
        <v>-3.5322863958000002E-2</v>
      </c>
    </row>
    <row r="1719" spans="1:2" x14ac:dyDescent="0.3">
      <c r="A1719" s="22">
        <v>9.5999999999999991E-7</v>
      </c>
      <c r="B1719" s="22">
        <v>-3.6126884050000002E-2</v>
      </c>
    </row>
    <row r="1720" spans="1:2" x14ac:dyDescent="0.3">
      <c r="A1720" s="22">
        <v>9.6500000000000008E-7</v>
      </c>
      <c r="B1720" s="22">
        <v>-3.6930904142000003E-2</v>
      </c>
    </row>
    <row r="1721" spans="1:2" x14ac:dyDescent="0.3">
      <c r="A1721" s="22">
        <v>9.7000000000000003E-7</v>
      </c>
      <c r="B1721" s="22">
        <v>-3.3714823774000001E-2</v>
      </c>
    </row>
    <row r="1722" spans="1:2" x14ac:dyDescent="0.3">
      <c r="A1722" s="22">
        <v>9.7499999999999998E-7</v>
      </c>
      <c r="B1722" s="22">
        <v>-3.6930904140999997E-2</v>
      </c>
    </row>
    <row r="1723" spans="1:2" x14ac:dyDescent="0.3">
      <c r="A1723" s="22">
        <v>9.7999999999999993E-7</v>
      </c>
      <c r="B1723" s="22">
        <v>-3.6126884050000002E-2</v>
      </c>
    </row>
    <row r="1724" spans="1:2" x14ac:dyDescent="0.3">
      <c r="A1724" s="22">
        <v>9.850000000000001E-7</v>
      </c>
      <c r="B1724" s="22">
        <v>-3.4518843866000001E-2</v>
      </c>
    </row>
    <row r="1725" spans="1:2" x14ac:dyDescent="0.3">
      <c r="A1725" s="22">
        <v>9.9000000000000005E-7</v>
      </c>
      <c r="B1725" s="22">
        <v>-3.4518843866000001E-2</v>
      </c>
    </row>
    <row r="1726" spans="1:2" x14ac:dyDescent="0.3">
      <c r="A1726" s="22">
        <v>9.95E-7</v>
      </c>
      <c r="B1726" s="22">
        <v>-3.1302763498999998E-2</v>
      </c>
    </row>
    <row r="1727" spans="1:2" x14ac:dyDescent="0.3">
      <c r="A1727" s="22">
        <v>9.9999999999999995E-7</v>
      </c>
      <c r="B1727" s="22">
        <v>-3.4518843866000001E-2</v>
      </c>
    </row>
    <row r="1728" spans="1:2" x14ac:dyDescent="0.3">
      <c r="A1728" s="22">
        <v>1.0049999999999999E-6</v>
      </c>
      <c r="B1728" s="22">
        <v>-3.3714823774000001E-2</v>
      </c>
    </row>
    <row r="1729" spans="1:2" x14ac:dyDescent="0.3">
      <c r="A1729" s="22">
        <v>1.0100000000000001E-6</v>
      </c>
      <c r="B1729" s="22">
        <v>-3.3714823774000001E-2</v>
      </c>
    </row>
    <row r="1730" spans="1:2" x14ac:dyDescent="0.3">
      <c r="A1730" s="22">
        <v>1.015E-6</v>
      </c>
      <c r="B1730" s="22">
        <v>-3.4518843866000001E-2</v>
      </c>
    </row>
    <row r="1731" spans="1:2" x14ac:dyDescent="0.3">
      <c r="A1731" s="22">
        <v>1.02E-6</v>
      </c>
      <c r="B1731" s="22">
        <v>-3.3714823774000001E-2</v>
      </c>
    </row>
    <row r="1732" spans="1:2" x14ac:dyDescent="0.3">
      <c r="A1732" s="22">
        <v>1.0249999999999999E-6</v>
      </c>
      <c r="B1732" s="22">
        <v>-3.4518843866000001E-2</v>
      </c>
    </row>
    <row r="1733" spans="1:2" x14ac:dyDescent="0.3">
      <c r="A1733" s="22">
        <v>1.0300000000000001E-6</v>
      </c>
      <c r="B1733" s="22">
        <v>-3.6126884050000002E-2</v>
      </c>
    </row>
    <row r="1734" spans="1:2" x14ac:dyDescent="0.3">
      <c r="A1734" s="22">
        <v>1.035E-6</v>
      </c>
      <c r="B1734" s="22">
        <v>-3.5322863958000002E-2</v>
      </c>
    </row>
    <row r="1735" spans="1:2" x14ac:dyDescent="0.3">
      <c r="A1735" s="22">
        <v>1.04E-6</v>
      </c>
      <c r="B1735" s="22">
        <v>-3.1302763498E-2</v>
      </c>
    </row>
    <row r="1736" spans="1:2" x14ac:dyDescent="0.3">
      <c r="A1736" s="22">
        <v>1.0449999999999999E-6</v>
      </c>
      <c r="B1736" s="22">
        <v>-3.210678359E-2</v>
      </c>
    </row>
    <row r="1737" spans="1:2" x14ac:dyDescent="0.3">
      <c r="A1737" s="22">
        <v>1.0499999999999999E-6</v>
      </c>
      <c r="B1737" s="22">
        <v>-3.6126884050000002E-2</v>
      </c>
    </row>
    <row r="1738" spans="1:2" x14ac:dyDescent="0.3">
      <c r="A1738" s="22">
        <v>1.0550000000000001E-6</v>
      </c>
      <c r="B1738" s="22">
        <v>-3.4518843866000001E-2</v>
      </c>
    </row>
    <row r="1739" spans="1:2" x14ac:dyDescent="0.3">
      <c r="A1739" s="22">
        <v>1.06E-6</v>
      </c>
      <c r="B1739" s="22">
        <v>-3.210678359E-2</v>
      </c>
    </row>
    <row r="1740" spans="1:2" x14ac:dyDescent="0.3">
      <c r="A1740" s="22">
        <v>1.065E-6</v>
      </c>
      <c r="B1740" s="22">
        <v>-3.4518843866000001E-2</v>
      </c>
    </row>
    <row r="1741" spans="1:2" x14ac:dyDescent="0.3">
      <c r="A1741" s="22">
        <v>1.0699999999999999E-6</v>
      </c>
      <c r="B1741" s="22">
        <v>-3.2910803682000001E-2</v>
      </c>
    </row>
    <row r="1742" spans="1:2" x14ac:dyDescent="0.3">
      <c r="A1742" s="22">
        <v>1.0750000000000001E-6</v>
      </c>
      <c r="B1742" s="22">
        <v>-3.3714823774000001E-2</v>
      </c>
    </row>
    <row r="1743" spans="1:2" x14ac:dyDescent="0.3">
      <c r="A1743" s="22">
        <v>1.08E-6</v>
      </c>
      <c r="B1743" s="22">
        <v>-3.0498743407000001E-2</v>
      </c>
    </row>
    <row r="1744" spans="1:2" x14ac:dyDescent="0.3">
      <c r="A1744" s="22">
        <v>1.085E-6</v>
      </c>
      <c r="B1744" s="22">
        <v>-3.3714823774000001E-2</v>
      </c>
    </row>
    <row r="1745" spans="1:2" x14ac:dyDescent="0.3">
      <c r="A1745" s="22">
        <v>1.0899999999999999E-6</v>
      </c>
      <c r="B1745" s="22">
        <v>-3.2910803682000001E-2</v>
      </c>
    </row>
    <row r="1746" spans="1:2" x14ac:dyDescent="0.3">
      <c r="A1746" s="22">
        <v>1.0950000000000001E-6</v>
      </c>
      <c r="B1746" s="22">
        <v>-3.4518843866000001E-2</v>
      </c>
    </row>
    <row r="1747" spans="1:2" x14ac:dyDescent="0.3">
      <c r="A1747" s="22">
        <v>1.1000000000000001E-6</v>
      </c>
      <c r="B1747" s="22">
        <v>-3.0498743407000001E-2</v>
      </c>
    </row>
    <row r="1748" spans="1:2" x14ac:dyDescent="0.3">
      <c r="A1748" s="22">
        <v>1.105E-6</v>
      </c>
      <c r="B1748" s="22">
        <v>-3.4518843866000001E-2</v>
      </c>
    </row>
    <row r="1749" spans="1:2" x14ac:dyDescent="0.3">
      <c r="A1749" s="22">
        <v>1.11E-6</v>
      </c>
      <c r="B1749" s="22">
        <v>-3.4518843866000001E-2</v>
      </c>
    </row>
    <row r="1750" spans="1:2" x14ac:dyDescent="0.3">
      <c r="A1750" s="22">
        <v>1.1149999999999999E-6</v>
      </c>
      <c r="B1750" s="22">
        <v>-3.3714823774000001E-2</v>
      </c>
    </row>
    <row r="1751" spans="1:2" x14ac:dyDescent="0.3">
      <c r="A1751" s="22">
        <v>1.1200000000000001E-6</v>
      </c>
      <c r="B1751" s="22">
        <v>-3.6126884050000002E-2</v>
      </c>
    </row>
    <row r="1752" spans="1:2" x14ac:dyDescent="0.3">
      <c r="A1752" s="22">
        <v>1.125E-6</v>
      </c>
      <c r="B1752" s="22">
        <v>-3.6930904142000003E-2</v>
      </c>
    </row>
    <row r="1753" spans="1:2" x14ac:dyDescent="0.3">
      <c r="A1753" s="22">
        <v>1.13E-6</v>
      </c>
      <c r="B1753" s="22">
        <v>-3.4518843866000001E-2</v>
      </c>
    </row>
    <row r="1754" spans="1:2" x14ac:dyDescent="0.3">
      <c r="A1754" s="22">
        <v>1.1349999999999999E-6</v>
      </c>
      <c r="B1754" s="22">
        <v>-3.6930904142000003E-2</v>
      </c>
    </row>
    <row r="1755" spans="1:2" x14ac:dyDescent="0.3">
      <c r="A1755" s="22">
        <v>1.1400000000000001E-6</v>
      </c>
      <c r="B1755" s="22">
        <v>-3.7734924234000003E-2</v>
      </c>
    </row>
    <row r="1756" spans="1:2" x14ac:dyDescent="0.3">
      <c r="A1756" s="22">
        <v>1.145E-6</v>
      </c>
      <c r="B1756" s="22">
        <v>-3.6126884050000002E-2</v>
      </c>
    </row>
    <row r="1757" spans="1:2" x14ac:dyDescent="0.3">
      <c r="A1757" s="22">
        <v>1.15E-6</v>
      </c>
      <c r="B1757" s="22">
        <v>-3.5322863958000002E-2</v>
      </c>
    </row>
    <row r="1758" spans="1:2" x14ac:dyDescent="0.3">
      <c r="A1758" s="22">
        <v>1.155E-6</v>
      </c>
      <c r="B1758" s="22">
        <v>-3.2910803682000001E-2</v>
      </c>
    </row>
    <row r="1759" spans="1:2" x14ac:dyDescent="0.3">
      <c r="A1759" s="22">
        <v>1.1599999999999999E-6</v>
      </c>
      <c r="B1759" s="22">
        <v>-3.6126884050000002E-2</v>
      </c>
    </row>
    <row r="1760" spans="1:2" x14ac:dyDescent="0.3">
      <c r="A1760" s="22">
        <v>1.1650000000000001E-6</v>
      </c>
      <c r="B1760" s="22">
        <v>-3.6126884050000002E-2</v>
      </c>
    </row>
    <row r="1761" spans="1:2" x14ac:dyDescent="0.3">
      <c r="A1761" s="22">
        <v>1.17E-6</v>
      </c>
      <c r="B1761" s="22">
        <v>-3.2910803682999999E-2</v>
      </c>
    </row>
    <row r="1762" spans="1:2" x14ac:dyDescent="0.3">
      <c r="A1762" s="22">
        <v>1.175E-6</v>
      </c>
      <c r="B1762" s="22">
        <v>-3.6930904142000003E-2</v>
      </c>
    </row>
    <row r="1763" spans="1:2" x14ac:dyDescent="0.3">
      <c r="A1763" s="22">
        <v>1.1799999999999999E-6</v>
      </c>
      <c r="B1763" s="22">
        <v>-3.5322863958000002E-2</v>
      </c>
    </row>
    <row r="1764" spans="1:2" x14ac:dyDescent="0.3">
      <c r="A1764" s="22">
        <v>1.1850000000000001E-6</v>
      </c>
      <c r="B1764" s="22">
        <v>-3.8538944326000003E-2</v>
      </c>
    </row>
    <row r="1765" spans="1:2" x14ac:dyDescent="0.3">
      <c r="A1765" s="22">
        <v>1.19E-6</v>
      </c>
      <c r="B1765" s="22">
        <v>-3.6126884050000002E-2</v>
      </c>
    </row>
    <row r="1766" spans="1:2" x14ac:dyDescent="0.3">
      <c r="A1766" s="22">
        <v>1.195E-6</v>
      </c>
      <c r="B1766" s="22">
        <v>-3.4518843866000001E-2</v>
      </c>
    </row>
    <row r="1767" spans="1:2" x14ac:dyDescent="0.3">
      <c r="A1767" s="22">
        <v>1.1999999999999999E-6</v>
      </c>
      <c r="B1767" s="22">
        <v>-3.7734924232999997E-2</v>
      </c>
    </row>
    <row r="1768" spans="1:2" x14ac:dyDescent="0.3">
      <c r="A1768" s="22">
        <v>1.2049999999999999E-6</v>
      </c>
      <c r="B1768" s="22">
        <v>-3.2910803682000001E-2</v>
      </c>
    </row>
    <row r="1769" spans="1:2" x14ac:dyDescent="0.3">
      <c r="A1769" s="22">
        <v>1.2100000000000001E-6</v>
      </c>
      <c r="B1769" s="22">
        <v>-3.4518843866000001E-2</v>
      </c>
    </row>
    <row r="1770" spans="1:2" x14ac:dyDescent="0.3">
      <c r="A1770" s="22">
        <v>1.215E-6</v>
      </c>
      <c r="B1770" s="22">
        <v>-3.6930904142000003E-2</v>
      </c>
    </row>
    <row r="1771" spans="1:2" x14ac:dyDescent="0.3">
      <c r="A1771" s="22">
        <v>1.22E-6</v>
      </c>
      <c r="B1771" s="22">
        <v>-3.1302763498E-2</v>
      </c>
    </row>
    <row r="1772" spans="1:2" x14ac:dyDescent="0.3">
      <c r="A1772" s="22">
        <v>1.2249999999999999E-6</v>
      </c>
      <c r="B1772" s="22">
        <v>-3.7734924232999997E-2</v>
      </c>
    </row>
    <row r="1773" spans="1:2" x14ac:dyDescent="0.3">
      <c r="A1773" s="22">
        <v>1.2300000000000001E-6</v>
      </c>
      <c r="B1773" s="22">
        <v>-3.6930904140999997E-2</v>
      </c>
    </row>
    <row r="1774" spans="1:2" x14ac:dyDescent="0.3">
      <c r="A1774" s="22">
        <v>1.235E-6</v>
      </c>
      <c r="B1774" s="22">
        <v>-3.1302763498999998E-2</v>
      </c>
    </row>
    <row r="1775" spans="1:2" x14ac:dyDescent="0.3">
      <c r="A1775" s="22">
        <v>1.24E-6</v>
      </c>
      <c r="B1775" s="22">
        <v>-3.6126884050000002E-2</v>
      </c>
    </row>
    <row r="1776" spans="1:2" x14ac:dyDescent="0.3">
      <c r="A1776" s="22">
        <v>1.2449999999999999E-6</v>
      </c>
      <c r="B1776" s="22">
        <v>-3.2910803682999999E-2</v>
      </c>
    </row>
    <row r="1777" spans="1:2" x14ac:dyDescent="0.3">
      <c r="A1777" s="22">
        <v>1.2500000000000001E-6</v>
      </c>
      <c r="B1777" s="22">
        <v>-3.6126884050000002E-2</v>
      </c>
    </row>
    <row r="1778" spans="1:2" x14ac:dyDescent="0.3">
      <c r="A1778" s="22">
        <v>1.2550000000000001E-6</v>
      </c>
      <c r="B1778" s="22">
        <v>-3.5322863958000002E-2</v>
      </c>
    </row>
    <row r="1779" spans="1:2" x14ac:dyDescent="0.3">
      <c r="A1779" s="22">
        <v>1.26E-6</v>
      </c>
      <c r="B1779" s="22">
        <v>-3.5322863958000002E-2</v>
      </c>
    </row>
    <row r="1780" spans="1:2" x14ac:dyDescent="0.3">
      <c r="A1780" s="22">
        <v>1.265E-6</v>
      </c>
      <c r="B1780" s="22">
        <v>-3.2910803682000001E-2</v>
      </c>
    </row>
    <row r="1781" spans="1:2" x14ac:dyDescent="0.3">
      <c r="A1781" s="22">
        <v>1.2699999999999999E-6</v>
      </c>
      <c r="B1781" s="22">
        <v>-4.0146984508999999E-2</v>
      </c>
    </row>
    <row r="1782" spans="1:2" x14ac:dyDescent="0.3">
      <c r="A1782" s="22">
        <v>1.2750000000000001E-6</v>
      </c>
      <c r="B1782" s="22">
        <v>-3.4518843866000001E-2</v>
      </c>
    </row>
    <row r="1783" spans="1:2" x14ac:dyDescent="0.3">
      <c r="A1783" s="22">
        <v>1.28E-6</v>
      </c>
      <c r="B1783" s="22">
        <v>-3.5322863958000002E-2</v>
      </c>
    </row>
    <row r="1784" spans="1:2" x14ac:dyDescent="0.3">
      <c r="A1784" s="22">
        <v>1.285E-6</v>
      </c>
      <c r="B1784" s="22">
        <v>-3.6930904142000003E-2</v>
      </c>
    </row>
    <row r="1785" spans="1:2" x14ac:dyDescent="0.3">
      <c r="A1785" s="22">
        <v>1.2899999999999999E-6</v>
      </c>
      <c r="B1785" s="22">
        <v>-3.4518843866000001E-2</v>
      </c>
    </row>
    <row r="1786" spans="1:2" x14ac:dyDescent="0.3">
      <c r="A1786" s="22">
        <v>1.2950000000000001E-6</v>
      </c>
      <c r="B1786" s="22">
        <v>-3.5322863958000002E-2</v>
      </c>
    </row>
    <row r="1787" spans="1:2" x14ac:dyDescent="0.3">
      <c r="A1787" s="22">
        <v>1.3E-6</v>
      </c>
      <c r="B1787" s="22">
        <v>-3.6126884050000002E-2</v>
      </c>
    </row>
    <row r="1788" spans="1:2" x14ac:dyDescent="0.3">
      <c r="A1788" s="22">
        <v>1.305E-6</v>
      </c>
      <c r="B1788" s="22">
        <v>-3.7734924232999997E-2</v>
      </c>
    </row>
    <row r="1789" spans="1:2" x14ac:dyDescent="0.3">
      <c r="A1789" s="22">
        <v>1.31E-6</v>
      </c>
      <c r="B1789" s="22">
        <v>-3.6930904142000003E-2</v>
      </c>
    </row>
    <row r="1790" spans="1:2" x14ac:dyDescent="0.3">
      <c r="A1790" s="22">
        <v>1.3149999999999999E-6</v>
      </c>
      <c r="B1790" s="22">
        <v>-3.6930904142000003E-2</v>
      </c>
    </row>
    <row r="1791" spans="1:2" x14ac:dyDescent="0.3">
      <c r="A1791" s="22">
        <v>1.3200000000000001E-6</v>
      </c>
      <c r="B1791" s="22">
        <v>-3.3714823774000001E-2</v>
      </c>
    </row>
    <row r="1792" spans="1:2" x14ac:dyDescent="0.3">
      <c r="A1792" s="22">
        <v>1.325E-6</v>
      </c>
      <c r="B1792" s="22">
        <v>-3.6126884050000002E-2</v>
      </c>
    </row>
    <row r="1793" spans="1:2" x14ac:dyDescent="0.3">
      <c r="A1793" s="22">
        <v>1.33E-6</v>
      </c>
      <c r="B1793" s="22">
        <v>-3.7734924234000003E-2</v>
      </c>
    </row>
    <row r="1794" spans="1:2" x14ac:dyDescent="0.3">
      <c r="A1794" s="22">
        <v>1.3349999999999999E-6</v>
      </c>
      <c r="B1794" s="22">
        <v>-3.4518843866000001E-2</v>
      </c>
    </row>
    <row r="1795" spans="1:2" x14ac:dyDescent="0.3">
      <c r="A1795" s="22">
        <v>1.3400000000000001E-6</v>
      </c>
      <c r="B1795" s="22">
        <v>-3.5322863958000002E-2</v>
      </c>
    </row>
    <row r="1796" spans="1:2" x14ac:dyDescent="0.3">
      <c r="A1796" s="22">
        <v>1.345E-6</v>
      </c>
      <c r="B1796" s="22">
        <v>-3.2106783590999999E-2</v>
      </c>
    </row>
    <row r="1797" spans="1:2" x14ac:dyDescent="0.3">
      <c r="A1797" s="22">
        <v>1.35E-6</v>
      </c>
      <c r="B1797" s="22">
        <v>-3.9342964416999998E-2</v>
      </c>
    </row>
    <row r="1798" spans="1:2" x14ac:dyDescent="0.3">
      <c r="A1798" s="22">
        <v>1.3549999999999999E-6</v>
      </c>
      <c r="B1798" s="22">
        <v>-3.5322863958000002E-2</v>
      </c>
    </row>
    <row r="1799" spans="1:2" x14ac:dyDescent="0.3">
      <c r="A1799" s="22">
        <v>1.3599999999999999E-6</v>
      </c>
      <c r="B1799" s="22">
        <v>-3.7734924232999997E-2</v>
      </c>
    </row>
    <row r="1800" spans="1:2" x14ac:dyDescent="0.3">
      <c r="A1800" s="22">
        <v>1.3650000000000001E-6</v>
      </c>
      <c r="B1800" s="22">
        <v>-3.5322863958000002E-2</v>
      </c>
    </row>
    <row r="1801" spans="1:2" x14ac:dyDescent="0.3">
      <c r="A1801" s="22">
        <v>1.37E-6</v>
      </c>
      <c r="B1801" s="22">
        <v>-3.6126884049000003E-2</v>
      </c>
    </row>
    <row r="1802" spans="1:2" x14ac:dyDescent="0.3">
      <c r="A1802" s="22">
        <v>1.375E-6</v>
      </c>
      <c r="B1802" s="22">
        <v>-3.6126884050000002E-2</v>
      </c>
    </row>
    <row r="1803" spans="1:2" x14ac:dyDescent="0.3">
      <c r="A1803" s="22">
        <v>1.3799999999999999E-6</v>
      </c>
      <c r="B1803" s="22">
        <v>-3.5322863958000002E-2</v>
      </c>
    </row>
    <row r="1804" spans="1:2" x14ac:dyDescent="0.3">
      <c r="A1804" s="22">
        <v>1.3850000000000001E-6</v>
      </c>
      <c r="B1804" s="22">
        <v>-3.4518843866000001E-2</v>
      </c>
    </row>
    <row r="1805" spans="1:2" x14ac:dyDescent="0.3">
      <c r="A1805" s="22">
        <v>1.39E-6</v>
      </c>
      <c r="B1805" s="22">
        <v>-3.5322863958000002E-2</v>
      </c>
    </row>
    <row r="1806" spans="1:2" x14ac:dyDescent="0.3">
      <c r="A1806" s="22">
        <v>1.395E-6</v>
      </c>
      <c r="B1806" s="22">
        <v>-3.6930904142000003E-2</v>
      </c>
    </row>
    <row r="1807" spans="1:2" x14ac:dyDescent="0.3">
      <c r="A1807" s="22">
        <v>1.3999999999999999E-6</v>
      </c>
      <c r="B1807" s="22">
        <v>-3.3714823774000001E-2</v>
      </c>
    </row>
    <row r="1808" spans="1:2" x14ac:dyDescent="0.3">
      <c r="A1808" s="22">
        <v>1.4050000000000001E-6</v>
      </c>
      <c r="B1808" s="22">
        <v>-3.6930904142000003E-2</v>
      </c>
    </row>
    <row r="1809" spans="1:2" x14ac:dyDescent="0.3">
      <c r="A1809" s="22">
        <v>1.4100000000000001E-6</v>
      </c>
      <c r="B1809" s="22">
        <v>-3.6126884050000002E-2</v>
      </c>
    </row>
    <row r="1810" spans="1:2" x14ac:dyDescent="0.3">
      <c r="A1810" s="22">
        <v>1.415E-6</v>
      </c>
      <c r="B1810" s="22">
        <v>-3.5322863958000002E-2</v>
      </c>
    </row>
    <row r="1811" spans="1:2" x14ac:dyDescent="0.3">
      <c r="A1811" s="22">
        <v>1.42E-6</v>
      </c>
      <c r="B1811" s="22">
        <v>-3.8538944324999998E-2</v>
      </c>
    </row>
    <row r="1812" spans="1:2" x14ac:dyDescent="0.3">
      <c r="A1812" s="22">
        <v>1.4249999999999999E-6</v>
      </c>
      <c r="B1812" s="22">
        <v>-3.3714823774000001E-2</v>
      </c>
    </row>
    <row r="1813" spans="1:2" x14ac:dyDescent="0.3">
      <c r="A1813" s="22">
        <v>1.4300000000000001E-6</v>
      </c>
      <c r="B1813" s="22">
        <v>-3.5322863958000002E-2</v>
      </c>
    </row>
    <row r="1814" spans="1:2" x14ac:dyDescent="0.3">
      <c r="A1814" s="22">
        <v>1.435E-6</v>
      </c>
      <c r="B1814" s="22">
        <v>-3.4518843866000001E-2</v>
      </c>
    </row>
    <row r="1815" spans="1:2" x14ac:dyDescent="0.3">
      <c r="A1815" s="22">
        <v>1.44E-6</v>
      </c>
      <c r="B1815" s="22">
        <v>-3.5322863957000003E-2</v>
      </c>
    </row>
    <row r="1816" spans="1:2" x14ac:dyDescent="0.3">
      <c r="A1816" s="22">
        <v>1.4449999999999999E-6</v>
      </c>
      <c r="B1816" s="22">
        <v>-3.5322863958000002E-2</v>
      </c>
    </row>
    <row r="1817" spans="1:2" x14ac:dyDescent="0.3">
      <c r="A1817" s="22">
        <v>1.4500000000000001E-6</v>
      </c>
      <c r="B1817" s="22">
        <v>-3.3714823774000001E-2</v>
      </c>
    </row>
    <row r="1818" spans="1:2" x14ac:dyDescent="0.3">
      <c r="A1818" s="22">
        <v>1.455E-6</v>
      </c>
      <c r="B1818" s="22">
        <v>-3.6126884050000002E-2</v>
      </c>
    </row>
    <row r="1819" spans="1:2" x14ac:dyDescent="0.3">
      <c r="A1819" s="22">
        <v>1.46E-6</v>
      </c>
      <c r="B1819" s="22">
        <v>-3.8538944324999998E-2</v>
      </c>
    </row>
    <row r="1820" spans="1:2" x14ac:dyDescent="0.3">
      <c r="A1820" s="22">
        <v>1.4649999999999999E-6</v>
      </c>
      <c r="B1820" s="22">
        <v>-3.3714823774000001E-2</v>
      </c>
    </row>
    <row r="1821" spans="1:2" x14ac:dyDescent="0.3">
      <c r="A1821" s="22">
        <v>1.4699999999999999E-6</v>
      </c>
      <c r="B1821" s="22">
        <v>-3.4518843866000001E-2</v>
      </c>
    </row>
    <row r="1822" spans="1:2" x14ac:dyDescent="0.3">
      <c r="A1822" s="22">
        <v>1.4750000000000001E-6</v>
      </c>
      <c r="B1822" s="22">
        <v>-3.7734924234000003E-2</v>
      </c>
    </row>
    <row r="1823" spans="1:2" x14ac:dyDescent="0.3">
      <c r="A1823" s="22">
        <v>1.48E-6</v>
      </c>
      <c r="B1823" s="22">
        <v>-3.210678359E-2</v>
      </c>
    </row>
    <row r="1824" spans="1:2" x14ac:dyDescent="0.3">
      <c r="A1824" s="22">
        <v>1.485E-6</v>
      </c>
      <c r="B1824" s="22">
        <v>-4.0146984508999999E-2</v>
      </c>
    </row>
    <row r="1825" spans="1:2" x14ac:dyDescent="0.3">
      <c r="A1825" s="22">
        <v>1.4899999999999999E-6</v>
      </c>
      <c r="B1825" s="22">
        <v>-3.3714823774000001E-2</v>
      </c>
    </row>
    <row r="1826" spans="1:2" x14ac:dyDescent="0.3">
      <c r="A1826" s="22">
        <v>1.4950000000000001E-6</v>
      </c>
      <c r="B1826" s="22">
        <v>-3.7734924234000003E-2</v>
      </c>
    </row>
    <row r="1827" spans="1:2" x14ac:dyDescent="0.3">
      <c r="A1827" s="22">
        <v>1.5E-6</v>
      </c>
      <c r="B1827" s="22">
        <v>-3.6930904142000003E-2</v>
      </c>
    </row>
    <row r="1828" spans="1:2" x14ac:dyDescent="0.3">
      <c r="A1828" s="22">
        <v>1.505E-6</v>
      </c>
      <c r="B1828" s="22">
        <v>-3.2910803682000001E-2</v>
      </c>
    </row>
    <row r="1829" spans="1:2" x14ac:dyDescent="0.3">
      <c r="A1829" s="22">
        <v>1.5099999999999999E-6</v>
      </c>
      <c r="B1829" s="22">
        <v>-3.9342964416999998E-2</v>
      </c>
    </row>
    <row r="1830" spans="1:2" x14ac:dyDescent="0.3">
      <c r="A1830" s="22">
        <v>1.5149999999999999E-6</v>
      </c>
      <c r="B1830" s="22">
        <v>-3.5322863958000002E-2</v>
      </c>
    </row>
    <row r="1831" spans="1:2" x14ac:dyDescent="0.3">
      <c r="A1831" s="22">
        <v>1.5200000000000001E-6</v>
      </c>
      <c r="B1831" s="22">
        <v>-3.6930904140999997E-2</v>
      </c>
    </row>
    <row r="1832" spans="1:2" x14ac:dyDescent="0.3">
      <c r="A1832" s="22">
        <v>1.525E-6</v>
      </c>
      <c r="B1832" s="22">
        <v>-3.7734924234000003E-2</v>
      </c>
    </row>
    <row r="1833" spans="1:2" x14ac:dyDescent="0.3">
      <c r="A1833" s="22">
        <v>1.53E-6</v>
      </c>
      <c r="B1833" s="22">
        <v>-3.4518843866000001E-2</v>
      </c>
    </row>
    <row r="1834" spans="1:2" x14ac:dyDescent="0.3">
      <c r="A1834" s="22">
        <v>1.5349999999999999E-6</v>
      </c>
      <c r="B1834" s="22">
        <v>-3.4518843866000001E-2</v>
      </c>
    </row>
    <row r="1835" spans="1:2" x14ac:dyDescent="0.3">
      <c r="A1835" s="22">
        <v>1.5400000000000001E-6</v>
      </c>
      <c r="B1835" s="22">
        <v>-3.7734924234000003E-2</v>
      </c>
    </row>
    <row r="1836" spans="1:2" x14ac:dyDescent="0.3">
      <c r="A1836" s="22">
        <v>1.545E-6</v>
      </c>
      <c r="B1836" s="22">
        <v>-3.7734924234000003E-2</v>
      </c>
    </row>
    <row r="1837" spans="1:2" x14ac:dyDescent="0.3">
      <c r="A1837" s="22">
        <v>1.55E-6</v>
      </c>
      <c r="B1837" s="22">
        <v>-3.6126884050000002E-2</v>
      </c>
    </row>
    <row r="1838" spans="1:2" x14ac:dyDescent="0.3">
      <c r="A1838" s="22">
        <v>1.5549999999999999E-6</v>
      </c>
      <c r="B1838" s="22">
        <v>-3.5322863958000002E-2</v>
      </c>
    </row>
    <row r="1839" spans="1:2" x14ac:dyDescent="0.3">
      <c r="A1839" s="22">
        <v>1.5600000000000001E-6</v>
      </c>
      <c r="B1839" s="22">
        <v>-3.2106783590999999E-2</v>
      </c>
    </row>
    <row r="1840" spans="1:2" x14ac:dyDescent="0.3">
      <c r="A1840" s="22">
        <v>1.5650000000000001E-6</v>
      </c>
      <c r="B1840" s="22">
        <v>-3.7734924232999997E-2</v>
      </c>
    </row>
    <row r="1841" spans="1:2" x14ac:dyDescent="0.3">
      <c r="A1841" s="22">
        <v>1.57E-6</v>
      </c>
      <c r="B1841" s="22">
        <v>-3.210678359E-2</v>
      </c>
    </row>
    <row r="1842" spans="1:2" x14ac:dyDescent="0.3">
      <c r="A1842" s="22">
        <v>1.575E-6</v>
      </c>
      <c r="B1842" s="22">
        <v>-3.2910803682000001E-2</v>
      </c>
    </row>
    <row r="1843" spans="1:2" x14ac:dyDescent="0.3">
      <c r="A1843" s="22">
        <v>1.5799999999999999E-6</v>
      </c>
      <c r="B1843" s="22">
        <v>-3.3714823774000001E-2</v>
      </c>
    </row>
    <row r="1844" spans="1:2" x14ac:dyDescent="0.3">
      <c r="A1844" s="22">
        <v>1.5850000000000001E-6</v>
      </c>
      <c r="B1844" s="22">
        <v>-3.2910803682000001E-2</v>
      </c>
    </row>
    <row r="1845" spans="1:2" x14ac:dyDescent="0.3">
      <c r="A1845" s="22">
        <v>1.59E-6</v>
      </c>
      <c r="B1845" s="22">
        <v>-3.210678359E-2</v>
      </c>
    </row>
    <row r="1846" spans="1:2" x14ac:dyDescent="0.3">
      <c r="A1846" s="22">
        <v>1.595E-6</v>
      </c>
      <c r="B1846" s="22">
        <v>-3.2910803682000001E-2</v>
      </c>
    </row>
    <row r="1847" spans="1:2" x14ac:dyDescent="0.3">
      <c r="A1847" s="22">
        <v>1.5999999999999999E-6</v>
      </c>
      <c r="B1847" s="22">
        <v>-3.4518843866000001E-2</v>
      </c>
    </row>
    <row r="1848" spans="1:2" x14ac:dyDescent="0.3">
      <c r="A1848" s="22">
        <v>1.6050000000000001E-6</v>
      </c>
      <c r="B1848" s="22">
        <v>-3.2106783590999999E-2</v>
      </c>
    </row>
    <row r="1849" spans="1:2" x14ac:dyDescent="0.3">
      <c r="A1849" s="22">
        <v>1.61E-6</v>
      </c>
      <c r="B1849" s="22">
        <v>-3.210678359E-2</v>
      </c>
    </row>
    <row r="1850" spans="1:2" x14ac:dyDescent="0.3">
      <c r="A1850" s="22">
        <v>1.615E-6</v>
      </c>
      <c r="B1850" s="22">
        <v>-3.5322863958000002E-2</v>
      </c>
    </row>
    <row r="1851" spans="1:2" x14ac:dyDescent="0.3">
      <c r="A1851" s="22">
        <v>1.6199999999999999E-6</v>
      </c>
      <c r="B1851" s="22">
        <v>-3.5322863958000002E-2</v>
      </c>
    </row>
    <row r="1852" spans="1:2" x14ac:dyDescent="0.3">
      <c r="A1852" s="22">
        <v>1.6249999999999999E-6</v>
      </c>
      <c r="B1852" s="22">
        <v>-3.4518843866000001E-2</v>
      </c>
    </row>
    <row r="1853" spans="1:2" x14ac:dyDescent="0.3">
      <c r="A1853" s="22">
        <v>1.6300000000000001E-6</v>
      </c>
      <c r="B1853" s="22">
        <v>-3.5322863958000002E-2</v>
      </c>
    </row>
    <row r="1854" spans="1:2" x14ac:dyDescent="0.3">
      <c r="A1854" s="22">
        <v>1.635E-6</v>
      </c>
      <c r="B1854" s="22">
        <v>-3.3714823774000001E-2</v>
      </c>
    </row>
    <row r="1855" spans="1:2" x14ac:dyDescent="0.3">
      <c r="A1855" s="22">
        <v>1.64E-6</v>
      </c>
      <c r="B1855" s="22">
        <v>-3.4518843866000001E-2</v>
      </c>
    </row>
    <row r="1856" spans="1:2" x14ac:dyDescent="0.3">
      <c r="A1856" s="22">
        <v>1.6449999999999999E-6</v>
      </c>
      <c r="B1856" s="22">
        <v>-3.5322863958000002E-2</v>
      </c>
    </row>
    <row r="1857" spans="1:2" x14ac:dyDescent="0.3">
      <c r="A1857" s="22">
        <v>1.6500000000000001E-6</v>
      </c>
      <c r="B1857" s="22">
        <v>-3.7734924232999997E-2</v>
      </c>
    </row>
    <row r="1858" spans="1:2" x14ac:dyDescent="0.3">
      <c r="A1858" s="22">
        <v>1.655E-6</v>
      </c>
      <c r="B1858" s="22">
        <v>-3.5322863958000002E-2</v>
      </c>
    </row>
    <row r="1859" spans="1:2" x14ac:dyDescent="0.3">
      <c r="A1859" s="22">
        <v>1.66E-6</v>
      </c>
      <c r="B1859" s="22">
        <v>-3.6126884050000002E-2</v>
      </c>
    </row>
    <row r="1860" spans="1:2" x14ac:dyDescent="0.3">
      <c r="A1860" s="22">
        <v>1.6649999999999999E-6</v>
      </c>
      <c r="B1860" s="22">
        <v>-3.3714823774000001E-2</v>
      </c>
    </row>
    <row r="1861" spans="1:2" x14ac:dyDescent="0.3">
      <c r="A1861" s="22">
        <v>1.6700000000000001E-6</v>
      </c>
      <c r="B1861" s="22">
        <v>-3.5322863958000002E-2</v>
      </c>
    </row>
    <row r="1862" spans="1:2" x14ac:dyDescent="0.3">
      <c r="A1862" s="22">
        <v>1.6750000000000001E-6</v>
      </c>
      <c r="B1862" s="22">
        <v>-3.2910803682000001E-2</v>
      </c>
    </row>
    <row r="1863" spans="1:2" x14ac:dyDescent="0.3">
      <c r="A1863" s="22">
        <v>1.68E-6</v>
      </c>
      <c r="B1863" s="22">
        <v>-3.4518843866000001E-2</v>
      </c>
    </row>
    <row r="1864" spans="1:2" x14ac:dyDescent="0.3">
      <c r="A1864" s="22">
        <v>1.685E-6</v>
      </c>
      <c r="B1864" s="22">
        <v>-3.2910803682000001E-2</v>
      </c>
    </row>
    <row r="1865" spans="1:2" x14ac:dyDescent="0.3">
      <c r="A1865" s="22">
        <v>1.6899999999999999E-6</v>
      </c>
      <c r="B1865" s="22">
        <v>-3.4518843866000001E-2</v>
      </c>
    </row>
    <row r="1866" spans="1:2" x14ac:dyDescent="0.3">
      <c r="A1866" s="22">
        <v>1.6950000000000001E-6</v>
      </c>
      <c r="B1866" s="22">
        <v>-3.6126884050000002E-2</v>
      </c>
    </row>
    <row r="1867" spans="1:2" x14ac:dyDescent="0.3">
      <c r="A1867" s="22">
        <v>1.7E-6</v>
      </c>
      <c r="B1867" s="22">
        <v>-3.6126884050000002E-2</v>
      </c>
    </row>
    <row r="1868" spans="1:2" x14ac:dyDescent="0.3">
      <c r="A1868" s="22">
        <v>1.705E-6</v>
      </c>
      <c r="B1868" s="22">
        <v>-3.4518843866000001E-2</v>
      </c>
    </row>
    <row r="1869" spans="1:2" x14ac:dyDescent="0.3">
      <c r="A1869" s="22">
        <v>1.7099999999999999E-6</v>
      </c>
      <c r="B1869" s="22">
        <v>-3.4518843866000001E-2</v>
      </c>
    </row>
    <row r="1870" spans="1:2" x14ac:dyDescent="0.3">
      <c r="A1870" s="22">
        <v>1.7150000000000001E-6</v>
      </c>
      <c r="B1870" s="22">
        <v>-3.5322863958000002E-2</v>
      </c>
    </row>
    <row r="1871" spans="1:2" x14ac:dyDescent="0.3">
      <c r="A1871" s="22">
        <v>1.72E-6</v>
      </c>
      <c r="B1871" s="22">
        <v>-3.6930904142000003E-2</v>
      </c>
    </row>
    <row r="1872" spans="1:2" x14ac:dyDescent="0.3">
      <c r="A1872" s="22">
        <v>1.725E-6</v>
      </c>
      <c r="B1872" s="22">
        <v>-3.7734924234000003E-2</v>
      </c>
    </row>
    <row r="1873" spans="1:2" x14ac:dyDescent="0.3">
      <c r="A1873" s="22">
        <v>1.73E-6</v>
      </c>
      <c r="B1873" s="22">
        <v>-3.6930904140999997E-2</v>
      </c>
    </row>
    <row r="1874" spans="1:2" x14ac:dyDescent="0.3">
      <c r="A1874" s="22">
        <v>1.7349999999999999E-6</v>
      </c>
      <c r="B1874" s="22">
        <v>-3.7734924232999997E-2</v>
      </c>
    </row>
    <row r="1875" spans="1:2" x14ac:dyDescent="0.3">
      <c r="A1875" s="22">
        <v>1.7400000000000001E-6</v>
      </c>
      <c r="B1875" s="22">
        <v>-3.3714823774000001E-2</v>
      </c>
    </row>
    <row r="1876" spans="1:2" x14ac:dyDescent="0.3">
      <c r="A1876" s="22">
        <v>1.745E-6</v>
      </c>
      <c r="B1876" s="22">
        <v>-3.6930904142000003E-2</v>
      </c>
    </row>
    <row r="1877" spans="1:2" x14ac:dyDescent="0.3">
      <c r="A1877" s="22">
        <v>1.75E-6</v>
      </c>
      <c r="B1877" s="22">
        <v>-3.6930904142000003E-2</v>
      </c>
    </row>
    <row r="1878" spans="1:2" x14ac:dyDescent="0.3">
      <c r="A1878" s="22">
        <v>1.7549999999999999E-6</v>
      </c>
      <c r="B1878" s="22">
        <v>-3.4518843866000001E-2</v>
      </c>
    </row>
    <row r="1879" spans="1:2" x14ac:dyDescent="0.3">
      <c r="A1879" s="22">
        <v>1.7600000000000001E-6</v>
      </c>
      <c r="B1879" s="22">
        <v>-3.6126884050000002E-2</v>
      </c>
    </row>
    <row r="1880" spans="1:2" x14ac:dyDescent="0.3">
      <c r="A1880" s="22">
        <v>1.765E-6</v>
      </c>
      <c r="B1880" s="22">
        <v>-3.8538944324999998E-2</v>
      </c>
    </row>
    <row r="1881" spans="1:2" x14ac:dyDescent="0.3">
      <c r="A1881" s="22">
        <v>1.77E-6</v>
      </c>
      <c r="B1881" s="22">
        <v>-3.6126884050000002E-2</v>
      </c>
    </row>
    <row r="1882" spans="1:2" x14ac:dyDescent="0.3">
      <c r="A1882" s="22">
        <v>1.7749999999999999E-6</v>
      </c>
      <c r="B1882" s="22">
        <v>-3.3714823774000001E-2</v>
      </c>
    </row>
    <row r="1883" spans="1:2" x14ac:dyDescent="0.3">
      <c r="A1883" s="22">
        <v>1.7799999999999999E-6</v>
      </c>
      <c r="B1883" s="22">
        <v>-3.7734924234000003E-2</v>
      </c>
    </row>
    <row r="1884" spans="1:2" x14ac:dyDescent="0.3">
      <c r="A1884" s="22">
        <v>1.7850000000000001E-6</v>
      </c>
      <c r="B1884" s="22">
        <v>-3.5322863958000002E-2</v>
      </c>
    </row>
    <row r="1885" spans="1:2" x14ac:dyDescent="0.3">
      <c r="A1885" s="22">
        <v>1.79E-6</v>
      </c>
      <c r="B1885" s="22">
        <v>-3.7734924232999997E-2</v>
      </c>
    </row>
    <row r="1886" spans="1:2" x14ac:dyDescent="0.3">
      <c r="A1886" s="22">
        <v>1.795E-6</v>
      </c>
      <c r="B1886" s="22">
        <v>-3.6126884050000002E-2</v>
      </c>
    </row>
    <row r="1887" spans="1:2" x14ac:dyDescent="0.3">
      <c r="A1887" s="22">
        <v>1.7999999999999999E-6</v>
      </c>
      <c r="B1887" s="22">
        <v>-3.9342964416999998E-2</v>
      </c>
    </row>
    <row r="1888" spans="1:2" x14ac:dyDescent="0.3">
      <c r="A1888" s="22">
        <v>1.8050000000000001E-6</v>
      </c>
      <c r="B1888" s="22">
        <v>-3.6126884050000002E-2</v>
      </c>
    </row>
    <row r="1889" spans="1:2" x14ac:dyDescent="0.3">
      <c r="A1889" s="22">
        <v>1.81E-6</v>
      </c>
      <c r="B1889" s="22">
        <v>-3.9342964416999998E-2</v>
      </c>
    </row>
    <row r="1890" spans="1:2" x14ac:dyDescent="0.3">
      <c r="A1890" s="22">
        <v>1.815E-6</v>
      </c>
      <c r="B1890" s="22">
        <v>-3.6930904142000003E-2</v>
      </c>
    </row>
    <row r="1891" spans="1:2" x14ac:dyDescent="0.3">
      <c r="A1891" s="22">
        <v>1.8199999999999999E-6</v>
      </c>
      <c r="B1891" s="22">
        <v>-3.8538944324999998E-2</v>
      </c>
    </row>
    <row r="1892" spans="1:2" x14ac:dyDescent="0.3">
      <c r="A1892" s="22">
        <v>1.8250000000000001E-6</v>
      </c>
      <c r="B1892" s="22">
        <v>-3.8538944324999998E-2</v>
      </c>
    </row>
    <row r="1893" spans="1:2" x14ac:dyDescent="0.3">
      <c r="A1893" s="22">
        <v>1.8300000000000001E-6</v>
      </c>
      <c r="B1893" s="22">
        <v>-3.5322863958000002E-2</v>
      </c>
    </row>
    <row r="1894" spans="1:2" x14ac:dyDescent="0.3">
      <c r="A1894" s="22">
        <v>1.835E-6</v>
      </c>
      <c r="B1894" s="22">
        <v>-3.7734924234000003E-2</v>
      </c>
    </row>
    <row r="1895" spans="1:2" x14ac:dyDescent="0.3">
      <c r="A1895" s="22">
        <v>1.84E-6</v>
      </c>
      <c r="B1895" s="22">
        <v>-3.6126884050000002E-2</v>
      </c>
    </row>
    <row r="1896" spans="1:2" x14ac:dyDescent="0.3">
      <c r="A1896" s="22">
        <v>1.8449999999999999E-6</v>
      </c>
      <c r="B1896" s="22">
        <v>-3.6930904142000003E-2</v>
      </c>
    </row>
    <row r="1897" spans="1:2" x14ac:dyDescent="0.3">
      <c r="A1897" s="22">
        <v>1.8500000000000001E-6</v>
      </c>
      <c r="B1897" s="22">
        <v>-3.6126884050000002E-2</v>
      </c>
    </row>
    <row r="1898" spans="1:2" x14ac:dyDescent="0.3">
      <c r="A1898" s="22">
        <v>1.855E-6</v>
      </c>
      <c r="B1898" s="22">
        <v>-3.5322863958000002E-2</v>
      </c>
    </row>
    <row r="1899" spans="1:2" x14ac:dyDescent="0.3">
      <c r="A1899" s="22">
        <v>1.86E-6</v>
      </c>
      <c r="B1899" s="22">
        <v>-3.7734924232999997E-2</v>
      </c>
    </row>
    <row r="1900" spans="1:2" x14ac:dyDescent="0.3">
      <c r="A1900" s="22">
        <v>1.8649999999999999E-6</v>
      </c>
      <c r="B1900" s="22">
        <v>-3.7734924232999997E-2</v>
      </c>
    </row>
    <row r="1901" spans="1:2" x14ac:dyDescent="0.3">
      <c r="A1901" s="22">
        <v>1.8700000000000001E-6</v>
      </c>
      <c r="B1901" s="22">
        <v>-3.3714823774000001E-2</v>
      </c>
    </row>
    <row r="1902" spans="1:2" x14ac:dyDescent="0.3">
      <c r="A1902" s="22">
        <v>1.875E-6</v>
      </c>
      <c r="B1902" s="22">
        <v>-3.4518843866000001E-2</v>
      </c>
    </row>
    <row r="1903" spans="1:2" x14ac:dyDescent="0.3">
      <c r="A1903" s="22">
        <v>1.88E-6</v>
      </c>
      <c r="B1903" s="22">
        <v>-3.4518843866000001E-2</v>
      </c>
    </row>
    <row r="1904" spans="1:2" x14ac:dyDescent="0.3">
      <c r="A1904" s="22">
        <v>1.885E-6</v>
      </c>
      <c r="B1904" s="22">
        <v>-3.6126884050000002E-2</v>
      </c>
    </row>
    <row r="1905" spans="1:2" x14ac:dyDescent="0.3">
      <c r="A1905" s="22">
        <v>1.8899999999999999E-6</v>
      </c>
      <c r="B1905" s="22">
        <v>-3.5322863958000002E-2</v>
      </c>
    </row>
    <row r="1906" spans="1:2" x14ac:dyDescent="0.3">
      <c r="A1906" s="22">
        <v>1.8950000000000001E-6</v>
      </c>
      <c r="B1906" s="22">
        <v>-3.6930904140999997E-2</v>
      </c>
    </row>
    <row r="1907" spans="1:2" x14ac:dyDescent="0.3">
      <c r="A1907" s="22">
        <v>1.9E-6</v>
      </c>
      <c r="B1907" s="22">
        <v>-3.6126884050000002E-2</v>
      </c>
    </row>
    <row r="1908" spans="1:2" x14ac:dyDescent="0.3">
      <c r="A1908" s="22">
        <v>1.905E-6</v>
      </c>
      <c r="B1908" s="22">
        <v>-3.3714823774000001E-2</v>
      </c>
    </row>
    <row r="1909" spans="1:2" x14ac:dyDescent="0.3">
      <c r="A1909" s="22">
        <v>1.9099999999999999E-6</v>
      </c>
      <c r="B1909" s="22">
        <v>-3.2910803682000001E-2</v>
      </c>
    </row>
    <row r="1910" spans="1:2" x14ac:dyDescent="0.3">
      <c r="A1910" s="22">
        <v>1.9149999999999999E-6</v>
      </c>
      <c r="B1910" s="22">
        <v>-3.4518843866000001E-2</v>
      </c>
    </row>
    <row r="1911" spans="1:2" x14ac:dyDescent="0.3">
      <c r="A1911" s="22">
        <v>1.9199999999999998E-6</v>
      </c>
      <c r="B1911" s="22">
        <v>-3.4518843866000001E-2</v>
      </c>
    </row>
    <row r="1912" spans="1:2" x14ac:dyDescent="0.3">
      <c r="A1912" s="22">
        <v>1.9250000000000002E-6</v>
      </c>
      <c r="B1912" s="22">
        <v>-3.5322863958000002E-2</v>
      </c>
    </row>
    <row r="1913" spans="1:2" x14ac:dyDescent="0.3">
      <c r="A1913" s="22">
        <v>1.9300000000000002E-6</v>
      </c>
      <c r="B1913" s="22">
        <v>-3.4518843866000001E-2</v>
      </c>
    </row>
    <row r="1914" spans="1:2" x14ac:dyDescent="0.3">
      <c r="A1914" s="22">
        <v>1.9350000000000001E-6</v>
      </c>
      <c r="B1914" s="22">
        <v>-3.4518843866000001E-2</v>
      </c>
    </row>
    <row r="1915" spans="1:2" x14ac:dyDescent="0.3">
      <c r="A1915" s="22">
        <v>1.9400000000000001E-6</v>
      </c>
      <c r="B1915" s="22">
        <v>-3.6930904142000003E-2</v>
      </c>
    </row>
    <row r="1916" spans="1:2" x14ac:dyDescent="0.3">
      <c r="A1916" s="22">
        <v>1.945E-6</v>
      </c>
      <c r="B1916" s="22">
        <v>-3.4518843866000001E-2</v>
      </c>
    </row>
    <row r="1917" spans="1:2" x14ac:dyDescent="0.3">
      <c r="A1917" s="22">
        <v>1.95E-6</v>
      </c>
      <c r="B1917" s="22">
        <v>-3.6126884050000002E-2</v>
      </c>
    </row>
    <row r="1918" spans="1:2" x14ac:dyDescent="0.3">
      <c r="A1918" s="22">
        <v>1.9549999999999999E-6</v>
      </c>
      <c r="B1918" s="22">
        <v>-3.4518843866000001E-2</v>
      </c>
    </row>
    <row r="1919" spans="1:2" x14ac:dyDescent="0.3">
      <c r="A1919" s="22">
        <v>1.9599999999999999E-6</v>
      </c>
      <c r="B1919" s="22">
        <v>-3.4518843866000001E-2</v>
      </c>
    </row>
    <row r="1920" spans="1:2" x14ac:dyDescent="0.3">
      <c r="A1920" s="22">
        <v>1.9649999999999998E-6</v>
      </c>
      <c r="B1920" s="22">
        <v>-3.3714823774000001E-2</v>
      </c>
    </row>
    <row r="1921" spans="1:2" x14ac:dyDescent="0.3">
      <c r="A1921" s="22">
        <v>1.9700000000000002E-6</v>
      </c>
      <c r="B1921" s="22">
        <v>-3.5322863958000002E-2</v>
      </c>
    </row>
    <row r="1922" spans="1:2" x14ac:dyDescent="0.3">
      <c r="A1922" s="22">
        <v>1.9750000000000001E-6</v>
      </c>
      <c r="B1922" s="22">
        <v>-3.5322863958000002E-2</v>
      </c>
    </row>
    <row r="1923" spans="1:2" x14ac:dyDescent="0.3">
      <c r="A1923" s="22">
        <v>1.9800000000000001E-6</v>
      </c>
      <c r="B1923" s="22">
        <v>-3.7734924234000003E-2</v>
      </c>
    </row>
    <row r="1924" spans="1:2" x14ac:dyDescent="0.3">
      <c r="A1924" s="22">
        <v>1.9850000000000001E-6</v>
      </c>
      <c r="B1924" s="22">
        <v>-3.4518843866000001E-2</v>
      </c>
    </row>
    <row r="1925" spans="1:2" x14ac:dyDescent="0.3">
      <c r="A1925" s="22">
        <v>1.99E-6</v>
      </c>
      <c r="B1925" s="22">
        <v>-3.3714823774000001E-2</v>
      </c>
    </row>
    <row r="1926" spans="1:2" x14ac:dyDescent="0.3">
      <c r="A1926" s="22">
        <v>1.995E-6</v>
      </c>
      <c r="B1926" s="22">
        <v>-3.4518843866000001E-2</v>
      </c>
    </row>
    <row r="1927" spans="1:2" x14ac:dyDescent="0.3">
      <c r="A1927" s="22">
        <v>1.9999999999999999E-6</v>
      </c>
      <c r="B1927" s="22">
        <v>-3.7734924234000003E-2</v>
      </c>
    </row>
    <row r="1928" spans="1:2" x14ac:dyDescent="0.3">
      <c r="A1928" s="22">
        <v>2.0049999999999999E-6</v>
      </c>
      <c r="B1928" s="22">
        <v>-3.6126884050000002E-2</v>
      </c>
    </row>
    <row r="1929" spans="1:2" x14ac:dyDescent="0.3">
      <c r="A1929" s="22">
        <v>2.0099999999999998E-6</v>
      </c>
      <c r="B1929" s="22">
        <v>-3.2910803682000001E-2</v>
      </c>
    </row>
    <row r="1930" spans="1:2" x14ac:dyDescent="0.3">
      <c r="A1930" s="22">
        <v>2.0150000000000002E-6</v>
      </c>
      <c r="B1930" s="22">
        <v>-3.6930904142000003E-2</v>
      </c>
    </row>
    <row r="1931" spans="1:2" x14ac:dyDescent="0.3">
      <c r="A1931" s="22">
        <v>2.0200000000000001E-6</v>
      </c>
      <c r="B1931" s="22">
        <v>-3.6126884050000002E-2</v>
      </c>
    </row>
    <row r="1932" spans="1:2" x14ac:dyDescent="0.3">
      <c r="A1932" s="22">
        <v>2.0250000000000001E-6</v>
      </c>
      <c r="B1932" s="22">
        <v>-3.5322863958000002E-2</v>
      </c>
    </row>
    <row r="1933" spans="1:2" x14ac:dyDescent="0.3">
      <c r="A1933" s="22">
        <v>2.03E-6</v>
      </c>
      <c r="B1933" s="22">
        <v>-3.5322863958000002E-2</v>
      </c>
    </row>
    <row r="1934" spans="1:2" x14ac:dyDescent="0.3">
      <c r="A1934" s="22">
        <v>2.035E-6</v>
      </c>
      <c r="B1934" s="22">
        <v>-3.6126884050000002E-2</v>
      </c>
    </row>
    <row r="1935" spans="1:2" x14ac:dyDescent="0.3">
      <c r="A1935" s="22">
        <v>2.04E-6</v>
      </c>
      <c r="B1935" s="22">
        <v>-3.7734924234000003E-2</v>
      </c>
    </row>
    <row r="1936" spans="1:2" x14ac:dyDescent="0.3">
      <c r="A1936" s="22">
        <v>2.0449999999999999E-6</v>
      </c>
      <c r="B1936" s="22">
        <v>-3.6126884049000003E-2</v>
      </c>
    </row>
    <row r="1937" spans="1:2" x14ac:dyDescent="0.3">
      <c r="A1937" s="22">
        <v>2.0499999999999999E-6</v>
      </c>
      <c r="B1937" s="22">
        <v>-3.7734924232999997E-2</v>
      </c>
    </row>
    <row r="1938" spans="1:2" x14ac:dyDescent="0.3">
      <c r="A1938" s="22">
        <v>2.0549999999999998E-6</v>
      </c>
      <c r="B1938" s="22">
        <v>-3.6930904140999997E-2</v>
      </c>
    </row>
    <row r="1939" spans="1:2" x14ac:dyDescent="0.3">
      <c r="A1939" s="22">
        <v>2.0600000000000002E-6</v>
      </c>
      <c r="B1939" s="22">
        <v>-3.3714823774000001E-2</v>
      </c>
    </row>
    <row r="1940" spans="1:2" x14ac:dyDescent="0.3">
      <c r="A1940" s="22">
        <v>2.0650000000000001E-6</v>
      </c>
      <c r="B1940" s="22">
        <v>-3.5322863958000002E-2</v>
      </c>
    </row>
    <row r="1941" spans="1:2" x14ac:dyDescent="0.3">
      <c r="A1941" s="22">
        <v>2.0700000000000001E-6</v>
      </c>
      <c r="B1941" s="22">
        <v>-3.6930904142000003E-2</v>
      </c>
    </row>
    <row r="1942" spans="1:2" x14ac:dyDescent="0.3">
      <c r="A1942" s="22">
        <v>2.075E-6</v>
      </c>
      <c r="B1942" s="22">
        <v>-3.2910803682000001E-2</v>
      </c>
    </row>
    <row r="1943" spans="1:2" x14ac:dyDescent="0.3">
      <c r="A1943" s="22">
        <v>2.08E-6</v>
      </c>
      <c r="B1943" s="22">
        <v>-3.3714823774000001E-2</v>
      </c>
    </row>
    <row r="1944" spans="1:2" x14ac:dyDescent="0.3">
      <c r="A1944" s="22">
        <v>2.0849999999999999E-6</v>
      </c>
      <c r="B1944" s="22">
        <v>-3.4518843866000001E-2</v>
      </c>
    </row>
    <row r="1945" spans="1:2" x14ac:dyDescent="0.3">
      <c r="A1945" s="22">
        <v>2.0899999999999999E-6</v>
      </c>
      <c r="B1945" s="22">
        <v>-3.4518843866000001E-2</v>
      </c>
    </row>
    <row r="1946" spans="1:2" x14ac:dyDescent="0.3">
      <c r="A1946" s="22">
        <v>2.0949999999999998E-6</v>
      </c>
      <c r="B1946" s="22">
        <v>-3.5322863958000002E-2</v>
      </c>
    </row>
    <row r="1947" spans="1:2" x14ac:dyDescent="0.3">
      <c r="A1947" s="22">
        <v>2.0999999999999998E-6</v>
      </c>
      <c r="B1947" s="22">
        <v>-3.210678359E-2</v>
      </c>
    </row>
    <row r="1948" spans="1:2" x14ac:dyDescent="0.3">
      <c r="A1948" s="22">
        <v>2.1050000000000002E-6</v>
      </c>
      <c r="B1948" s="22">
        <v>-3.5322863958000002E-2</v>
      </c>
    </row>
    <row r="1949" spans="1:2" x14ac:dyDescent="0.3">
      <c r="A1949" s="22">
        <v>2.1100000000000001E-6</v>
      </c>
      <c r="B1949" s="22">
        <v>-3.4518843866000001E-2</v>
      </c>
    </row>
    <row r="1950" spans="1:2" x14ac:dyDescent="0.3">
      <c r="A1950" s="22">
        <v>2.1150000000000001E-6</v>
      </c>
      <c r="B1950" s="22">
        <v>-3.6930904142000003E-2</v>
      </c>
    </row>
    <row r="1951" spans="1:2" x14ac:dyDescent="0.3">
      <c r="A1951" s="22">
        <v>2.12E-6</v>
      </c>
      <c r="B1951" s="22">
        <v>-3.3714823774000001E-2</v>
      </c>
    </row>
    <row r="1952" spans="1:2" x14ac:dyDescent="0.3">
      <c r="A1952" s="22">
        <v>2.125E-6</v>
      </c>
      <c r="B1952" s="22">
        <v>-3.3714823774000001E-2</v>
      </c>
    </row>
    <row r="1953" spans="1:2" x14ac:dyDescent="0.3">
      <c r="A1953" s="22">
        <v>2.1299999999999999E-6</v>
      </c>
      <c r="B1953" s="22">
        <v>-3.3714823774000001E-2</v>
      </c>
    </row>
    <row r="1954" spans="1:2" x14ac:dyDescent="0.3">
      <c r="A1954" s="22">
        <v>2.1349999999999999E-6</v>
      </c>
      <c r="B1954" s="22">
        <v>-3.5322863958000002E-2</v>
      </c>
    </row>
    <row r="1955" spans="1:2" x14ac:dyDescent="0.3">
      <c r="A1955" s="22">
        <v>2.1399999999999998E-6</v>
      </c>
      <c r="B1955" s="22">
        <v>-3.6930904142000003E-2</v>
      </c>
    </row>
    <row r="1956" spans="1:2" x14ac:dyDescent="0.3">
      <c r="A1956" s="22">
        <v>2.1449999999999998E-6</v>
      </c>
      <c r="B1956" s="22">
        <v>-3.6126884050000002E-2</v>
      </c>
    </row>
    <row r="1957" spans="1:2" x14ac:dyDescent="0.3">
      <c r="A1957" s="22">
        <v>2.1500000000000002E-6</v>
      </c>
      <c r="B1957" s="22">
        <v>-3.2910803682000001E-2</v>
      </c>
    </row>
    <row r="1958" spans="1:2" x14ac:dyDescent="0.3">
      <c r="A1958" s="22">
        <v>2.1550000000000001E-6</v>
      </c>
      <c r="B1958" s="22">
        <v>-3.3714823774000001E-2</v>
      </c>
    </row>
    <row r="1959" spans="1:2" x14ac:dyDescent="0.3">
      <c r="A1959" s="22">
        <v>2.1600000000000001E-6</v>
      </c>
      <c r="B1959" s="22">
        <v>-3.5322863958000002E-2</v>
      </c>
    </row>
    <row r="1960" spans="1:2" x14ac:dyDescent="0.3">
      <c r="A1960" s="22">
        <v>2.165E-6</v>
      </c>
      <c r="B1960" s="22">
        <v>-3.3714823774000001E-2</v>
      </c>
    </row>
    <row r="1961" spans="1:2" x14ac:dyDescent="0.3">
      <c r="A1961" s="22">
        <v>2.17E-6</v>
      </c>
      <c r="B1961" s="22">
        <v>-3.6930904140999997E-2</v>
      </c>
    </row>
    <row r="1962" spans="1:2" x14ac:dyDescent="0.3">
      <c r="A1962" s="22">
        <v>2.1749999999999999E-6</v>
      </c>
      <c r="B1962" s="22">
        <v>-3.1302763498999998E-2</v>
      </c>
    </row>
    <row r="1963" spans="1:2" x14ac:dyDescent="0.3">
      <c r="A1963" s="22">
        <v>2.1799999999999999E-6</v>
      </c>
      <c r="B1963" s="22">
        <v>-3.5322863958000002E-2</v>
      </c>
    </row>
    <row r="1964" spans="1:2" x14ac:dyDescent="0.3">
      <c r="A1964" s="22">
        <v>2.1849999999999998E-6</v>
      </c>
      <c r="B1964" s="22">
        <v>-3.4518843866000001E-2</v>
      </c>
    </row>
    <row r="1965" spans="1:2" x14ac:dyDescent="0.3">
      <c r="A1965" s="22">
        <v>2.1900000000000002E-6</v>
      </c>
      <c r="B1965" s="22">
        <v>-3.2910803682000001E-2</v>
      </c>
    </row>
    <row r="1966" spans="1:2" x14ac:dyDescent="0.3">
      <c r="A1966" s="22">
        <v>2.1950000000000002E-6</v>
      </c>
      <c r="B1966" s="22">
        <v>-3.4518843866000001E-2</v>
      </c>
    </row>
    <row r="1967" spans="1:2" x14ac:dyDescent="0.3">
      <c r="A1967" s="22">
        <v>2.2000000000000001E-6</v>
      </c>
      <c r="B1967" s="22">
        <v>-3.4518843866000001E-2</v>
      </c>
    </row>
    <row r="1968" spans="1:2" x14ac:dyDescent="0.3">
      <c r="A1968" s="22">
        <v>2.2050000000000001E-6</v>
      </c>
      <c r="B1968" s="22">
        <v>-3.2910803682000001E-2</v>
      </c>
    </row>
    <row r="1969" spans="1:2" x14ac:dyDescent="0.3">
      <c r="A1969" s="22">
        <v>2.21E-6</v>
      </c>
      <c r="B1969" s="22">
        <v>-3.6126884050000002E-2</v>
      </c>
    </row>
    <row r="1970" spans="1:2" x14ac:dyDescent="0.3">
      <c r="A1970" s="22">
        <v>2.215E-6</v>
      </c>
      <c r="B1970" s="22">
        <v>-3.5322863958000002E-2</v>
      </c>
    </row>
    <row r="1971" spans="1:2" x14ac:dyDescent="0.3">
      <c r="A1971" s="22">
        <v>2.2199999999999999E-6</v>
      </c>
      <c r="B1971" s="22">
        <v>-3.4518843866000001E-2</v>
      </c>
    </row>
    <row r="1972" spans="1:2" x14ac:dyDescent="0.3">
      <c r="A1972" s="22">
        <v>2.2249999999999999E-6</v>
      </c>
      <c r="B1972" s="22">
        <v>-3.2910803682000001E-2</v>
      </c>
    </row>
    <row r="1973" spans="1:2" x14ac:dyDescent="0.3">
      <c r="A1973" s="22">
        <v>2.2299999999999998E-6</v>
      </c>
      <c r="B1973" s="22">
        <v>-3.2910803682000001E-2</v>
      </c>
    </row>
    <row r="1974" spans="1:2" x14ac:dyDescent="0.3">
      <c r="A1974" s="22">
        <v>2.2350000000000002E-6</v>
      </c>
      <c r="B1974" s="22">
        <v>-3.3714823774000001E-2</v>
      </c>
    </row>
    <row r="1975" spans="1:2" x14ac:dyDescent="0.3">
      <c r="A1975" s="22">
        <v>2.2400000000000002E-6</v>
      </c>
      <c r="B1975" s="22">
        <v>-3.2106783590999999E-2</v>
      </c>
    </row>
    <row r="1976" spans="1:2" x14ac:dyDescent="0.3">
      <c r="A1976" s="22">
        <v>2.2450000000000001E-6</v>
      </c>
      <c r="B1976" s="22">
        <v>-3.7734924234000003E-2</v>
      </c>
    </row>
    <row r="1977" spans="1:2" x14ac:dyDescent="0.3">
      <c r="A1977" s="22">
        <v>2.2500000000000001E-6</v>
      </c>
      <c r="B1977" s="22">
        <v>-3.4518843866000001E-2</v>
      </c>
    </row>
    <row r="1978" spans="1:2" x14ac:dyDescent="0.3">
      <c r="A1978" s="22">
        <v>2.255E-6</v>
      </c>
      <c r="B1978" s="22">
        <v>-3.6126884050000002E-2</v>
      </c>
    </row>
    <row r="1979" spans="1:2" x14ac:dyDescent="0.3">
      <c r="A1979" s="22">
        <v>2.26E-6</v>
      </c>
      <c r="B1979" s="22">
        <v>-3.4518843866000001E-2</v>
      </c>
    </row>
    <row r="1980" spans="1:2" x14ac:dyDescent="0.3">
      <c r="A1980" s="22">
        <v>2.2649999999999999E-6</v>
      </c>
      <c r="B1980" s="22">
        <v>-3.6126884050000002E-2</v>
      </c>
    </row>
    <row r="1981" spans="1:2" x14ac:dyDescent="0.3">
      <c r="A1981" s="22">
        <v>2.2699999999999999E-6</v>
      </c>
      <c r="B1981" s="22">
        <v>-3.4518843866000001E-2</v>
      </c>
    </row>
    <row r="1982" spans="1:2" x14ac:dyDescent="0.3">
      <c r="A1982" s="22">
        <v>2.2749999999999998E-6</v>
      </c>
      <c r="B1982" s="22">
        <v>-3.5322863958000002E-2</v>
      </c>
    </row>
    <row r="1983" spans="1:2" x14ac:dyDescent="0.3">
      <c r="A1983" s="22">
        <v>2.2800000000000002E-6</v>
      </c>
      <c r="B1983" s="22">
        <v>-3.4518843866000001E-2</v>
      </c>
    </row>
    <row r="1984" spans="1:2" x14ac:dyDescent="0.3">
      <c r="A1984" s="22">
        <v>2.2850000000000001E-6</v>
      </c>
      <c r="B1984" s="22">
        <v>-3.5322863958000002E-2</v>
      </c>
    </row>
    <row r="1985" spans="1:2" x14ac:dyDescent="0.3">
      <c r="A1985" s="22">
        <v>2.2900000000000001E-6</v>
      </c>
      <c r="B1985" s="22">
        <v>-3.5322863958000002E-2</v>
      </c>
    </row>
    <row r="1986" spans="1:2" x14ac:dyDescent="0.3">
      <c r="A1986" s="22">
        <v>2.295E-6</v>
      </c>
      <c r="B1986" s="22">
        <v>-3.6126884050000002E-2</v>
      </c>
    </row>
    <row r="1987" spans="1:2" x14ac:dyDescent="0.3">
      <c r="A1987" s="22">
        <v>2.3E-6</v>
      </c>
      <c r="B1987" s="22">
        <v>-3.7734924232999997E-2</v>
      </c>
    </row>
    <row r="1988" spans="1:2" x14ac:dyDescent="0.3">
      <c r="A1988" s="22">
        <v>2.305E-6</v>
      </c>
      <c r="B1988" s="22">
        <v>-3.4518843866000001E-2</v>
      </c>
    </row>
    <row r="1989" spans="1:2" x14ac:dyDescent="0.3">
      <c r="A1989" s="22">
        <v>2.3099999999999999E-6</v>
      </c>
      <c r="B1989" s="22">
        <v>-3.6930904142000003E-2</v>
      </c>
    </row>
    <row r="1990" spans="1:2" x14ac:dyDescent="0.3">
      <c r="A1990" s="22">
        <v>2.3149999999999999E-6</v>
      </c>
      <c r="B1990" s="22">
        <v>-3.6126884050000002E-2</v>
      </c>
    </row>
    <row r="1991" spans="1:2" x14ac:dyDescent="0.3">
      <c r="A1991" s="22">
        <v>2.3199999999999998E-6</v>
      </c>
      <c r="B1991" s="22">
        <v>-3.6126884050000002E-2</v>
      </c>
    </row>
    <row r="1992" spans="1:2" x14ac:dyDescent="0.3">
      <c r="A1992" s="22">
        <v>2.3250000000000002E-6</v>
      </c>
      <c r="B1992" s="22">
        <v>-3.3714823774000001E-2</v>
      </c>
    </row>
    <row r="1993" spans="1:2" x14ac:dyDescent="0.3">
      <c r="A1993" s="22">
        <v>2.3300000000000001E-6</v>
      </c>
      <c r="B1993" s="22">
        <v>-3.8538944324999998E-2</v>
      </c>
    </row>
    <row r="1994" spans="1:2" x14ac:dyDescent="0.3">
      <c r="A1994" s="22">
        <v>2.3350000000000001E-6</v>
      </c>
      <c r="B1994" s="22">
        <v>-3.7734924234000003E-2</v>
      </c>
    </row>
    <row r="1995" spans="1:2" x14ac:dyDescent="0.3">
      <c r="A1995" s="22">
        <v>2.34E-6</v>
      </c>
      <c r="B1995" s="22">
        <v>-3.6126884050000002E-2</v>
      </c>
    </row>
    <row r="1996" spans="1:2" x14ac:dyDescent="0.3">
      <c r="A1996" s="22">
        <v>2.345E-6</v>
      </c>
      <c r="B1996" s="22">
        <v>-3.5322863958000002E-2</v>
      </c>
    </row>
    <row r="1997" spans="1:2" x14ac:dyDescent="0.3">
      <c r="A1997" s="22">
        <v>2.3499999999999999E-6</v>
      </c>
      <c r="B1997" s="22">
        <v>-3.3714823774000001E-2</v>
      </c>
    </row>
    <row r="1998" spans="1:2" x14ac:dyDescent="0.3">
      <c r="A1998" s="22">
        <v>2.3549999999999999E-6</v>
      </c>
      <c r="B1998" s="22">
        <v>-3.6126884050000002E-2</v>
      </c>
    </row>
    <row r="1999" spans="1:2" x14ac:dyDescent="0.3">
      <c r="A1999" s="22">
        <v>2.3599999999999999E-6</v>
      </c>
      <c r="B1999" s="22">
        <v>-3.7734924234000003E-2</v>
      </c>
    </row>
    <row r="2000" spans="1:2" x14ac:dyDescent="0.3">
      <c r="A2000" s="22">
        <v>2.3649999999999998E-6</v>
      </c>
      <c r="B2000" s="22">
        <v>-3.6126884050000002E-2</v>
      </c>
    </row>
    <row r="2001" spans="1:2" x14ac:dyDescent="0.3">
      <c r="A2001" s="22">
        <v>2.3700000000000002E-6</v>
      </c>
      <c r="B2001" s="22">
        <v>-3.5322863958000002E-2</v>
      </c>
    </row>
    <row r="2002" spans="1:2" x14ac:dyDescent="0.3">
      <c r="A2002" s="22">
        <v>2.3750000000000001E-6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A067E-F525-4B60-ACA4-A60D62BF1722}">
  <dimension ref="A1:E62"/>
  <sheetViews>
    <sheetView zoomScale="99" workbookViewId="0">
      <selection activeCell="O34" sqref="O34"/>
    </sheetView>
  </sheetViews>
  <sheetFormatPr defaultRowHeight="14.4" x14ac:dyDescent="0.3"/>
  <sheetData>
    <row r="1" spans="1:5" x14ac:dyDescent="0.3">
      <c r="A1" t="s">
        <v>88</v>
      </c>
      <c r="B1" t="s">
        <v>89</v>
      </c>
      <c r="C1" t="s">
        <v>90</v>
      </c>
      <c r="D1" t="s">
        <v>91</v>
      </c>
      <c r="E1" t="s">
        <v>92</v>
      </c>
    </row>
    <row r="2" spans="1:5" x14ac:dyDescent="0.3">
      <c r="A2">
        <v>1</v>
      </c>
      <c r="B2">
        <v>200000</v>
      </c>
      <c r="C2">
        <v>0.125</v>
      </c>
      <c r="D2">
        <v>-0.39</v>
      </c>
      <c r="E2">
        <v>157.5</v>
      </c>
    </row>
    <row r="3" spans="1:5" x14ac:dyDescent="0.3">
      <c r="A3">
        <v>2</v>
      </c>
      <c r="B3">
        <v>214922.1</v>
      </c>
      <c r="C3">
        <v>0.125</v>
      </c>
      <c r="D3">
        <v>-0.43</v>
      </c>
      <c r="E3">
        <v>155.84</v>
      </c>
    </row>
    <row r="4" spans="1:5" x14ac:dyDescent="0.3">
      <c r="A4">
        <v>3</v>
      </c>
      <c r="B4">
        <v>230957.5</v>
      </c>
      <c r="C4">
        <v>0.125</v>
      </c>
      <c r="D4">
        <v>-0.46</v>
      </c>
      <c r="E4">
        <v>153.97</v>
      </c>
    </row>
    <row r="5" spans="1:5" x14ac:dyDescent="0.3">
      <c r="A5">
        <v>4</v>
      </c>
      <c r="B5">
        <v>248189.3</v>
      </c>
      <c r="C5">
        <v>0.125</v>
      </c>
      <c r="D5">
        <v>-0.54</v>
      </c>
      <c r="E5">
        <v>152.11000000000001</v>
      </c>
    </row>
    <row r="6" spans="1:5" x14ac:dyDescent="0.3">
      <c r="A6">
        <v>5</v>
      </c>
      <c r="B6">
        <v>266706.8</v>
      </c>
      <c r="C6">
        <v>0.125</v>
      </c>
      <c r="D6">
        <v>-0.6</v>
      </c>
      <c r="E6">
        <v>150.04</v>
      </c>
    </row>
    <row r="7" spans="1:5" x14ac:dyDescent="0.3">
      <c r="A7">
        <v>6</v>
      </c>
      <c r="B7">
        <v>286605.90000000002</v>
      </c>
      <c r="C7">
        <v>0.125</v>
      </c>
      <c r="D7">
        <v>-0.67</v>
      </c>
      <c r="E7">
        <v>147.88999999999999</v>
      </c>
    </row>
    <row r="8" spans="1:5" x14ac:dyDescent="0.3">
      <c r="A8">
        <v>7</v>
      </c>
      <c r="B8">
        <v>307989.59999999998</v>
      </c>
      <c r="C8">
        <v>0.125</v>
      </c>
      <c r="D8">
        <v>-0.74</v>
      </c>
      <c r="E8">
        <v>145.71</v>
      </c>
    </row>
    <row r="9" spans="1:5" x14ac:dyDescent="0.3">
      <c r="A9">
        <v>8</v>
      </c>
      <c r="B9">
        <v>330968.90000000002</v>
      </c>
      <c r="C9">
        <v>0.125</v>
      </c>
      <c r="D9">
        <v>-0.83</v>
      </c>
      <c r="E9">
        <v>143.18</v>
      </c>
    </row>
    <row r="10" spans="1:5" x14ac:dyDescent="0.3">
      <c r="A10">
        <v>9</v>
      </c>
      <c r="B10">
        <v>355662.6</v>
      </c>
      <c r="C10">
        <v>0.125</v>
      </c>
      <c r="D10">
        <v>-0.95</v>
      </c>
      <c r="E10">
        <v>140.94999999999999</v>
      </c>
    </row>
    <row r="11" spans="1:5" x14ac:dyDescent="0.3">
      <c r="A11">
        <v>10</v>
      </c>
      <c r="B11">
        <v>382198.7</v>
      </c>
      <c r="C11">
        <v>0.125</v>
      </c>
      <c r="D11">
        <v>-1.03</v>
      </c>
      <c r="E11">
        <v>138.25</v>
      </c>
    </row>
    <row r="12" spans="1:5" x14ac:dyDescent="0.3">
      <c r="A12">
        <v>11</v>
      </c>
      <c r="B12">
        <v>410714.7</v>
      </c>
      <c r="C12">
        <v>0.125</v>
      </c>
      <c r="D12">
        <v>-1.1499999999999999</v>
      </c>
      <c r="E12">
        <v>135.55000000000001</v>
      </c>
    </row>
    <row r="13" spans="1:5" x14ac:dyDescent="0.3">
      <c r="A13">
        <v>12</v>
      </c>
      <c r="B13">
        <v>441358.2</v>
      </c>
      <c r="C13">
        <v>0.125</v>
      </c>
      <c r="D13">
        <v>-1.28</v>
      </c>
      <c r="E13">
        <v>132.69999999999999</v>
      </c>
    </row>
    <row r="14" spans="1:5" x14ac:dyDescent="0.3">
      <c r="A14">
        <v>13</v>
      </c>
      <c r="B14">
        <v>474288.1</v>
      </c>
      <c r="C14">
        <v>0.125</v>
      </c>
      <c r="D14">
        <v>-1.43</v>
      </c>
      <c r="E14">
        <v>129.66999999999999</v>
      </c>
    </row>
    <row r="15" spans="1:5" x14ac:dyDescent="0.3">
      <c r="A15">
        <v>14</v>
      </c>
      <c r="B15">
        <v>509674.9</v>
      </c>
      <c r="C15">
        <v>0.125</v>
      </c>
      <c r="D15">
        <v>-1.51</v>
      </c>
      <c r="E15">
        <v>126.56</v>
      </c>
    </row>
    <row r="16" spans="1:5" x14ac:dyDescent="0.3">
      <c r="A16">
        <v>15</v>
      </c>
      <c r="B16">
        <v>547702</v>
      </c>
      <c r="C16">
        <v>0.125</v>
      </c>
      <c r="D16">
        <v>-1.69</v>
      </c>
      <c r="E16">
        <v>123.02</v>
      </c>
    </row>
    <row r="17" spans="1:5" x14ac:dyDescent="0.3">
      <c r="A17">
        <v>16</v>
      </c>
      <c r="B17">
        <v>588566.19999999995</v>
      </c>
      <c r="C17">
        <v>0.125</v>
      </c>
      <c r="D17">
        <v>-1.89</v>
      </c>
      <c r="E17">
        <v>119.58</v>
      </c>
    </row>
    <row r="18" spans="1:5" x14ac:dyDescent="0.3">
      <c r="A18">
        <v>17</v>
      </c>
      <c r="B18">
        <v>632479.30000000005</v>
      </c>
      <c r="C18">
        <v>0.125</v>
      </c>
      <c r="D18">
        <v>-2.0499999999999998</v>
      </c>
      <c r="E18">
        <v>115.81</v>
      </c>
    </row>
    <row r="19" spans="1:5" x14ac:dyDescent="0.3">
      <c r="A19">
        <v>18</v>
      </c>
      <c r="B19">
        <v>679668.8</v>
      </c>
      <c r="C19">
        <v>0.125</v>
      </c>
      <c r="D19">
        <v>-2.2000000000000002</v>
      </c>
      <c r="E19">
        <v>111.86</v>
      </c>
    </row>
    <row r="20" spans="1:5" x14ac:dyDescent="0.3">
      <c r="A20">
        <v>19</v>
      </c>
      <c r="B20">
        <v>730379.2</v>
      </c>
      <c r="C20">
        <v>0.125</v>
      </c>
      <c r="D20">
        <v>-2.48</v>
      </c>
      <c r="E20">
        <v>107.38</v>
      </c>
    </row>
    <row r="21" spans="1:5" x14ac:dyDescent="0.3">
      <c r="A21">
        <v>20</v>
      </c>
      <c r="B21">
        <v>784873</v>
      </c>
      <c r="C21">
        <v>0.125</v>
      </c>
      <c r="D21">
        <v>-2.62</v>
      </c>
      <c r="E21">
        <v>103.54</v>
      </c>
    </row>
    <row r="22" spans="1:5" x14ac:dyDescent="0.3">
      <c r="A22">
        <v>21</v>
      </c>
      <c r="B22">
        <v>843432.7</v>
      </c>
      <c r="C22">
        <v>0.125</v>
      </c>
      <c r="D22">
        <v>-2.83</v>
      </c>
      <c r="E22">
        <v>99.52</v>
      </c>
    </row>
    <row r="23" spans="1:5" x14ac:dyDescent="0.3">
      <c r="A23">
        <v>22</v>
      </c>
      <c r="B23">
        <v>906361.5</v>
      </c>
      <c r="C23">
        <v>0.125</v>
      </c>
      <c r="D23">
        <v>-3.06</v>
      </c>
      <c r="E23">
        <v>94.75</v>
      </c>
    </row>
    <row r="24" spans="1:5" x14ac:dyDescent="0.3">
      <c r="A24">
        <v>23</v>
      </c>
      <c r="B24">
        <v>973985.4</v>
      </c>
      <c r="C24">
        <v>0.125</v>
      </c>
      <c r="D24">
        <v>-3.25</v>
      </c>
      <c r="E24">
        <v>89.97</v>
      </c>
    </row>
    <row r="25" spans="1:5" x14ac:dyDescent="0.3">
      <c r="A25">
        <v>24</v>
      </c>
      <c r="B25">
        <v>1046654.8</v>
      </c>
      <c r="C25">
        <v>0.125</v>
      </c>
      <c r="D25">
        <v>-3.37</v>
      </c>
      <c r="E25">
        <v>84.8</v>
      </c>
    </row>
    <row r="26" spans="1:5" x14ac:dyDescent="0.3">
      <c r="A26">
        <v>25</v>
      </c>
      <c r="B26">
        <v>1124746.1000000001</v>
      </c>
      <c r="C26">
        <v>0.125</v>
      </c>
      <c r="D26">
        <v>-3.53</v>
      </c>
      <c r="E26">
        <v>78.900000000000006</v>
      </c>
    </row>
    <row r="27" spans="1:5" x14ac:dyDescent="0.3">
      <c r="A27">
        <v>26</v>
      </c>
      <c r="B27">
        <v>1208663.8</v>
      </c>
      <c r="C27">
        <v>0.125</v>
      </c>
      <c r="D27">
        <v>-3.71</v>
      </c>
      <c r="E27">
        <v>74.14</v>
      </c>
    </row>
    <row r="28" spans="1:5" x14ac:dyDescent="0.3">
      <c r="A28">
        <v>27</v>
      </c>
      <c r="B28">
        <v>1298842.7</v>
      </c>
      <c r="C28">
        <v>0.125</v>
      </c>
      <c r="D28">
        <v>-3.88</v>
      </c>
      <c r="E28">
        <v>67.67</v>
      </c>
    </row>
    <row r="29" spans="1:5" x14ac:dyDescent="0.3">
      <c r="A29">
        <v>28</v>
      </c>
      <c r="B29">
        <v>1395749.8</v>
      </c>
      <c r="C29">
        <v>0.125</v>
      </c>
      <c r="D29">
        <v>-4.0599999999999996</v>
      </c>
      <c r="E29">
        <v>60.45</v>
      </c>
    </row>
    <row r="30" spans="1:5" x14ac:dyDescent="0.3">
      <c r="A30">
        <v>29</v>
      </c>
      <c r="B30">
        <v>1499887.2</v>
      </c>
      <c r="C30">
        <v>0.125</v>
      </c>
      <c r="D30">
        <v>-4.12</v>
      </c>
      <c r="E30">
        <v>53.45</v>
      </c>
    </row>
    <row r="31" spans="1:5" x14ac:dyDescent="0.3">
      <c r="A31">
        <v>30</v>
      </c>
      <c r="B31">
        <v>1611794.3</v>
      </c>
      <c r="C31">
        <v>0.125</v>
      </c>
      <c r="D31">
        <v>-4.37</v>
      </c>
      <c r="E31">
        <v>44.82</v>
      </c>
    </row>
    <row r="32" spans="1:5" x14ac:dyDescent="0.3">
      <c r="A32">
        <v>31</v>
      </c>
      <c r="B32">
        <v>1732050.8</v>
      </c>
      <c r="C32">
        <v>0.125</v>
      </c>
      <c r="D32">
        <v>-4.32</v>
      </c>
      <c r="E32">
        <v>36.909999999999997</v>
      </c>
    </row>
    <row r="33" spans="1:5" x14ac:dyDescent="0.3">
      <c r="A33">
        <v>32</v>
      </c>
      <c r="B33">
        <v>1861279.7</v>
      </c>
      <c r="C33">
        <v>0.125</v>
      </c>
      <c r="D33">
        <v>-4.3600000000000003</v>
      </c>
      <c r="E33">
        <v>26.95</v>
      </c>
    </row>
    <row r="34" spans="1:5" x14ac:dyDescent="0.3">
      <c r="A34">
        <v>33</v>
      </c>
      <c r="B34">
        <v>2000150.5</v>
      </c>
      <c r="C34">
        <v>0.125</v>
      </c>
      <c r="D34">
        <v>-4.5</v>
      </c>
      <c r="E34">
        <v>17.71</v>
      </c>
    </row>
    <row r="35" spans="1:5" x14ac:dyDescent="0.3">
      <c r="A35">
        <v>34</v>
      </c>
      <c r="B35">
        <v>2149382.4</v>
      </c>
      <c r="C35">
        <v>0.125</v>
      </c>
      <c r="D35">
        <v>-4.59</v>
      </c>
      <c r="E35">
        <v>4.4800000000000004</v>
      </c>
    </row>
    <row r="36" spans="1:5" x14ac:dyDescent="0.3">
      <c r="A36">
        <v>35</v>
      </c>
      <c r="B36">
        <v>2309748.6</v>
      </c>
      <c r="C36">
        <v>0.125</v>
      </c>
      <c r="D36">
        <v>-4.76</v>
      </c>
      <c r="E36">
        <v>-5.23</v>
      </c>
    </row>
    <row r="37" spans="1:5" x14ac:dyDescent="0.3">
      <c r="A37">
        <v>36</v>
      </c>
      <c r="B37">
        <v>2482079.7999999998</v>
      </c>
      <c r="C37">
        <v>0.125</v>
      </c>
      <c r="D37">
        <v>-4.79</v>
      </c>
      <c r="E37">
        <v>-19.46</v>
      </c>
    </row>
    <row r="38" spans="1:5" x14ac:dyDescent="0.3">
      <c r="A38">
        <v>37</v>
      </c>
      <c r="B38">
        <v>2667268.6</v>
      </c>
      <c r="C38">
        <v>0.125</v>
      </c>
      <c r="D38">
        <v>-5.25</v>
      </c>
      <c r="E38">
        <v>-35.119999999999997</v>
      </c>
    </row>
    <row r="39" spans="1:5" x14ac:dyDescent="0.3">
      <c r="A39">
        <v>38</v>
      </c>
      <c r="B39">
        <v>2866274.5</v>
      </c>
      <c r="C39">
        <v>0.125</v>
      </c>
      <c r="D39">
        <v>-5.31</v>
      </c>
      <c r="E39">
        <v>-50.8</v>
      </c>
    </row>
    <row r="40" spans="1:5" x14ac:dyDescent="0.3">
      <c r="A40">
        <v>39</v>
      </c>
      <c r="B40">
        <v>3080128.2</v>
      </c>
      <c r="C40">
        <v>0.125</v>
      </c>
      <c r="D40">
        <v>-5.21</v>
      </c>
      <c r="E40">
        <v>-69.17</v>
      </c>
    </row>
    <row r="41" spans="1:5" x14ac:dyDescent="0.3">
      <c r="A41">
        <v>40</v>
      </c>
      <c r="B41">
        <v>3309937.7</v>
      </c>
      <c r="C41">
        <v>0.125</v>
      </c>
      <c r="D41">
        <v>-5.14</v>
      </c>
      <c r="E41">
        <v>-87.66</v>
      </c>
    </row>
    <row r="42" spans="1:5" x14ac:dyDescent="0.3">
      <c r="A42">
        <v>41</v>
      </c>
      <c r="B42">
        <v>3556893.3</v>
      </c>
      <c r="C42">
        <v>0.125</v>
      </c>
      <c r="D42">
        <v>-5.17</v>
      </c>
      <c r="E42">
        <v>-111.55</v>
      </c>
    </row>
    <row r="43" spans="1:5" x14ac:dyDescent="0.3">
      <c r="A43">
        <v>42</v>
      </c>
      <c r="B43">
        <v>3822274.4</v>
      </c>
      <c r="C43">
        <v>0.125</v>
      </c>
      <c r="D43">
        <v>-5.71</v>
      </c>
      <c r="E43">
        <v>-132.13999999999999</v>
      </c>
    </row>
    <row r="44" spans="1:5" x14ac:dyDescent="0.3">
      <c r="A44">
        <v>43</v>
      </c>
      <c r="B44">
        <v>4107455.6</v>
      </c>
      <c r="C44">
        <v>0.125</v>
      </c>
      <c r="D44">
        <v>-6.09</v>
      </c>
      <c r="E44">
        <v>-161.18</v>
      </c>
    </row>
    <row r="45" spans="1:5" x14ac:dyDescent="0.3">
      <c r="A45">
        <v>44</v>
      </c>
      <c r="B45">
        <v>4413914.3</v>
      </c>
      <c r="C45">
        <v>0.125</v>
      </c>
      <c r="D45">
        <v>-7.27</v>
      </c>
      <c r="E45">
        <v>171.17</v>
      </c>
    </row>
    <row r="46" spans="1:5" x14ac:dyDescent="0.3">
      <c r="A46">
        <v>45</v>
      </c>
      <c r="B46">
        <v>4743238.0999999996</v>
      </c>
      <c r="C46">
        <v>0.125</v>
      </c>
      <c r="D46">
        <v>-8.23</v>
      </c>
      <c r="E46">
        <v>135.09</v>
      </c>
    </row>
    <row r="47" spans="1:5" x14ac:dyDescent="0.3">
      <c r="A47">
        <v>46</v>
      </c>
      <c r="B47">
        <v>5097132.7</v>
      </c>
      <c r="C47">
        <v>0.125</v>
      </c>
      <c r="D47">
        <v>-9.31</v>
      </c>
      <c r="E47">
        <v>97</v>
      </c>
    </row>
    <row r="48" spans="1:5" x14ac:dyDescent="0.3">
      <c r="A48">
        <v>47</v>
      </c>
      <c r="B48">
        <v>5477431.5999999996</v>
      </c>
      <c r="C48">
        <v>0.125</v>
      </c>
      <c r="D48">
        <v>-11.49</v>
      </c>
      <c r="E48">
        <v>63.61</v>
      </c>
    </row>
    <row r="49" spans="1:5" x14ac:dyDescent="0.3">
      <c r="A49">
        <v>48</v>
      </c>
      <c r="B49">
        <v>5886104.7000000002</v>
      </c>
      <c r="C49">
        <v>0.125</v>
      </c>
      <c r="D49">
        <v>-14.05</v>
      </c>
      <c r="E49">
        <v>25.11</v>
      </c>
    </row>
    <row r="50" spans="1:5" x14ac:dyDescent="0.3">
      <c r="A50">
        <v>49</v>
      </c>
      <c r="B50">
        <v>6325269.0999999996</v>
      </c>
      <c r="C50">
        <v>0.125</v>
      </c>
      <c r="D50">
        <v>-18.62</v>
      </c>
      <c r="E50">
        <v>-20.51</v>
      </c>
    </row>
    <row r="51" spans="1:5" x14ac:dyDescent="0.3">
      <c r="A51">
        <v>50</v>
      </c>
      <c r="B51">
        <v>6797199.7000000002</v>
      </c>
      <c r="C51">
        <v>0.125</v>
      </c>
      <c r="D51">
        <v>-21.95</v>
      </c>
      <c r="E51">
        <v>-65.010000000000005</v>
      </c>
    </row>
    <row r="52" spans="1:5" x14ac:dyDescent="0.3">
      <c r="A52">
        <v>51</v>
      </c>
      <c r="B52">
        <v>7304341.0999999996</v>
      </c>
      <c r="C52">
        <v>0.125</v>
      </c>
      <c r="D52">
        <v>-27.82</v>
      </c>
      <c r="E52">
        <v>-62.53</v>
      </c>
    </row>
    <row r="53" spans="1:5" x14ac:dyDescent="0.3">
      <c r="A53">
        <v>52</v>
      </c>
      <c r="B53">
        <v>7849320.5999999996</v>
      </c>
      <c r="C53">
        <v>0.125</v>
      </c>
      <c r="D53">
        <v>-34.54</v>
      </c>
      <c r="E53">
        <v>-114.85</v>
      </c>
    </row>
    <row r="54" spans="1:5" x14ac:dyDescent="0.3">
      <c r="A54">
        <v>53</v>
      </c>
      <c r="B54">
        <v>8434961.1999999993</v>
      </c>
      <c r="C54">
        <v>0.125</v>
      </c>
      <c r="D54">
        <v>-44.83</v>
      </c>
      <c r="E54">
        <v>-141.13999999999999</v>
      </c>
    </row>
    <row r="55" spans="1:5" x14ac:dyDescent="0.3">
      <c r="A55">
        <v>54</v>
      </c>
      <c r="B55">
        <v>9064296.6999999993</v>
      </c>
      <c r="C55">
        <v>0.125</v>
      </c>
      <c r="D55">
        <v>-46.02</v>
      </c>
      <c r="E55">
        <v>-160.66</v>
      </c>
    </row>
    <row r="56" spans="1:5" x14ac:dyDescent="0.3">
      <c r="A56">
        <v>55</v>
      </c>
      <c r="B56">
        <v>9740587.0999999996</v>
      </c>
      <c r="C56">
        <v>0.125</v>
      </c>
      <c r="D56">
        <v>-49.04</v>
      </c>
      <c r="E56">
        <v>-177.18</v>
      </c>
    </row>
    <row r="57" spans="1:5" x14ac:dyDescent="0.3">
      <c r="A57">
        <v>56</v>
      </c>
      <c r="B57">
        <v>10467335.699999999</v>
      </c>
      <c r="C57">
        <v>0.125</v>
      </c>
      <c r="D57">
        <v>-45.67</v>
      </c>
      <c r="E57">
        <v>13.64</v>
      </c>
    </row>
    <row r="58" spans="1:5" x14ac:dyDescent="0.3">
      <c r="A58">
        <v>57</v>
      </c>
      <c r="B58">
        <v>11248307.4</v>
      </c>
      <c r="C58">
        <v>0.125</v>
      </c>
      <c r="D58">
        <v>-50.09</v>
      </c>
      <c r="E58">
        <v>54.06</v>
      </c>
    </row>
    <row r="59" spans="1:5" x14ac:dyDescent="0.3">
      <c r="A59">
        <v>58</v>
      </c>
      <c r="B59">
        <v>12087547.6</v>
      </c>
      <c r="C59">
        <v>0.125</v>
      </c>
      <c r="D59">
        <v>-55.06</v>
      </c>
      <c r="E59">
        <v>99.17</v>
      </c>
    </row>
    <row r="60" spans="1:5" x14ac:dyDescent="0.3">
      <c r="A60">
        <v>59</v>
      </c>
      <c r="B60">
        <v>12989403.800000001</v>
      </c>
      <c r="C60">
        <v>0.125</v>
      </c>
      <c r="D60">
        <v>-46.61</v>
      </c>
      <c r="E60">
        <v>-183.72</v>
      </c>
    </row>
    <row r="61" spans="1:5" x14ac:dyDescent="0.3">
      <c r="A61">
        <v>60</v>
      </c>
      <c r="B61">
        <v>13958547.800000001</v>
      </c>
      <c r="C61">
        <v>0.125</v>
      </c>
      <c r="D61">
        <v>-67.52</v>
      </c>
      <c r="E61">
        <v>64.599999999999994</v>
      </c>
    </row>
    <row r="62" spans="1:5" x14ac:dyDescent="0.3">
      <c r="A62">
        <v>61</v>
      </c>
      <c r="B62">
        <v>15000000</v>
      </c>
      <c r="C62">
        <v>0.125</v>
      </c>
      <c r="D62">
        <v>-52.27</v>
      </c>
      <c r="E62">
        <v>146.62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List1</vt:lpstr>
      <vt:lpstr>Noise Floor</vt:lpstr>
      <vt:lpstr>Square Wave</vt:lpstr>
      <vt:lpstr>Bode Plot Submission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Stejskal</dc:creator>
  <cp:lastModifiedBy>Petr Stejskal</cp:lastModifiedBy>
  <dcterms:created xsi:type="dcterms:W3CDTF">2015-06-05T18:19:34Z</dcterms:created>
  <dcterms:modified xsi:type="dcterms:W3CDTF">2024-03-28T11:41:57Z</dcterms:modified>
</cp:coreProperties>
</file>